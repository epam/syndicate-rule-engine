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taliiSobchenko\projects\syndicate-rule-engine\deployment\artifacts\"/>
    </mc:Choice>
  </mc:AlternateContent>
  <xr:revisionPtr revIDLastSave="0" documentId="13_ncr:1_{C60D5643-D081-494C-8AE8-1483B4F13ED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troduction" sheetId="1" r:id="rId1"/>
    <sheet name="Raw reports" sheetId="2" r:id="rId2"/>
    <sheet name="Dashboard" sheetId="3" r:id="rId3"/>
    <sheet name="Pivots" sheetId="4" r:id="rId4"/>
  </sheets>
  <calcPr calcId="191029"/>
  <pivotCaches>
    <pivotCache cacheId="1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3" l="1"/>
  <c r="J12" i="3"/>
  <c r="J11" i="3"/>
  <c r="J10" i="3"/>
  <c r="S8" i="3"/>
  <c r="R8" i="3"/>
  <c r="Q8" i="3"/>
  <c r="P8" i="3"/>
  <c r="O8" i="3"/>
  <c r="S7" i="3"/>
  <c r="R7" i="3"/>
  <c r="Q7" i="3"/>
  <c r="P7" i="3"/>
  <c r="O7" i="3"/>
  <c r="K7" i="3"/>
  <c r="J4" i="3" s="1"/>
  <c r="S6" i="3"/>
  <c r="R6" i="3"/>
  <c r="Q6" i="3"/>
  <c r="P6" i="3"/>
  <c r="O6" i="3"/>
  <c r="K6" i="3"/>
  <c r="S5" i="3"/>
  <c r="R5" i="3"/>
  <c r="Q5" i="3"/>
  <c r="P5" i="3"/>
  <c r="O5" i="3"/>
  <c r="K5" i="3"/>
  <c r="K4" i="3"/>
  <c r="J5" i="3" l="1"/>
  <c r="J6" i="3"/>
</calcChain>
</file>

<file path=xl/sharedStrings.xml><?xml version="1.0" encoding="utf-8"?>
<sst xmlns="http://schemas.openxmlformats.org/spreadsheetml/2006/main" count="129" uniqueCount="86">
  <si>
    <t>Job details</t>
  </si>
  <si>
    <t>Job ID</t>
  </si>
  <si>
    <t>Tenant name</t>
  </si>
  <si>
    <t>Cloud</t>
  </si>
  <si>
    <t>Submitted at</t>
  </si>
  <si>
    <t>Account ID</t>
  </si>
  <si>
    <t>How to read this report</t>
  </si>
  <si>
    <t>Dashboard</t>
  </si>
  <si>
    <t>Review passed, failed, and not evaluated checks. Prioritize failed checks with higher severity and lower remediation complexity; these receive higher remediation priority.</t>
  </si>
  <si>
    <t>Pivots</t>
  </si>
  <si>
    <t>Use the pivot tables to identify leading resource types, categories, service sections, and rules. Excel refreshes pivots when the workbook opens.</t>
  </si>
  <si>
    <t>Raw reports</t>
  </si>
  <si>
    <t>Inspect the underlying findings and resource details, including check status, severity, region or namespace, and resolution status.</t>
  </si>
  <si>
    <t>Report scope</t>
  </si>
  <si>
    <t>ResourceType</t>
  </si>
  <si>
    <t>RuleID</t>
  </si>
  <si>
    <t>RuleTitle</t>
  </si>
  <si>
    <t>ResourceID</t>
  </si>
  <si>
    <t>ResourceTags</t>
  </si>
  <si>
    <t>CheckStatus</t>
  </si>
  <si>
    <t>Severity</t>
  </si>
  <si>
    <t>SeverityPriority</t>
  </si>
  <si>
    <t>RemediationComplexity</t>
  </si>
  <si>
    <t>RemediationComplexityPriority</t>
  </si>
  <si>
    <t>RemediationPriority</t>
  </si>
  <si>
    <t>Region (Namespace)</t>
  </si>
  <si>
    <t>Date</t>
  </si>
  <si>
    <t>Service</t>
  </si>
  <si>
    <t>ServiceSection</t>
  </si>
  <si>
    <t>Category</t>
  </si>
  <si>
    <t>Resolution status</t>
  </si>
  <si>
    <t>Remediation complexity</t>
  </si>
  <si>
    <t>Failed</t>
  </si>
  <si>
    <t>Low</t>
  </si>
  <si>
    <t>L-M</t>
  </si>
  <si>
    <t>Medium</t>
  </si>
  <si>
    <t>M-H</t>
  </si>
  <si>
    <t>High</t>
  </si>
  <si>
    <t>Passed</t>
  </si>
  <si>
    <t>Info</t>
  </si>
  <si>
    <t>Not evaluated</t>
  </si>
  <si>
    <t>Total</t>
  </si>
  <si>
    <t>(blank)</t>
  </si>
  <si>
    <t>Top 5 Resource types by findings</t>
  </si>
  <si>
    <t>Top 5 Categories by findings</t>
  </si>
  <si>
    <t>Top 5 Service sections by findings</t>
  </si>
  <si>
    <t>Top 5 Rules by findings</t>
  </si>
  <si>
    <t>Top 10 Rules by remediation priority</t>
  </si>
  <si>
    <t>Resource Types</t>
  </si>
  <si>
    <t>Rule categories</t>
  </si>
  <si>
    <t>Cloud service sections</t>
  </si>
  <si>
    <t>Rules</t>
  </si>
  <si>
    <t>Remediation Priority</t>
  </si>
  <si>
    <t>Total Findings</t>
  </si>
  <si>
    <t>Remediation priority is Severity + Remediation Complexity</t>
  </si>
  <si>
    <t>Resource Type</t>
  </si>
  <si>
    <t>Service Section</t>
  </si>
  <si>
    <t>Total findings</t>
  </si>
  <si>
    <t>Rule ID</t>
  </si>
  <si>
    <t>whereis</t>
  </si>
  <si>
    <t>High=40 … Info=10</t>
  </si>
  <si>
    <t>Remediation Complexity</t>
  </si>
  <si>
    <t>Low=5 … High=1</t>
  </si>
  <si>
    <t>so if Severity=High and Remediation Complexity=Low,</t>
  </si>
  <si>
    <t xml:space="preserve"> Remediation Priority is 45, the highest one</t>
  </si>
  <si>
    <t>Values</t>
  </si>
  <si>
    <t>Started at</t>
  </si>
  <si>
    <t>Finished at</t>
  </si>
  <si>
    <t>This report covers one scan job. A tenant report uses its latest successfully completed scan; Kubernetes platform reports are job-specific.</t>
  </si>
  <si>
    <t>Raw reports columns</t>
  </si>
  <si>
    <t>Cloud resource identifier. Blank for an unsuccessful rule/region evaluation without an associated resource.</t>
  </si>
  <si>
    <t>Resource tags serialized as JSON. An empty object ({}) means no tags.</t>
  </si>
  <si>
    <t>Rule severity from metadata: High, Medium, Low, or Info. Blank when unavailable.</t>
  </si>
  <si>
    <t>Estimated remediation effort from metadata: Low, Low-Medium, Medium, Medium-High, or High. Blank when unavailable.</t>
  </si>
  <si>
    <t>Cloud region, or the resource namespace for Kubernetes scans. May be blank for Kubernetes evaluations without a resource.</t>
  </si>
  <si>
    <t>Resource inventory synchronization timestamp in UTC (ISO 8601). This is not the scan start or finish date. Blank without a resource.</t>
  </si>
  <si>
    <t>Cloud service from rule metadata.</t>
  </si>
  <si>
    <t>Service grouping from rule metadata, such as Compute.</t>
  </si>
  <si>
    <t>First two levels of the rule category joined with a dot, for example Security.Configuration.</t>
  </si>
  <si>
    <t>Initially blank; available for manual remediation tracking in the downloaded workbook. Edits are not saved back to SRE and do not change CheckStatus or dashboard calculations.</t>
  </si>
  <si>
    <t>Short rule identifier, such as aws-001.</t>
  </si>
  <si>
    <t>Readable resource type</t>
  </si>
  <si>
    <t>Rule description.</t>
  </si>
  <si>
    <t>Failed: returned as a violation. Passed: the rule/region evaluation succeeded and the matching inventory resource was not returned as a violation. Not evaluated: the rule/region evaluation failed.</t>
  </si>
  <si>
    <t>Note:</t>
  </si>
  <si>
    <t xml:space="preserve"> There are five separate tables arranged from left to right.  Scroll to the right to view the remaining tables.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</si>
</sst>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40404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FBFBF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  <xf numFmtId="0" fontId="0" fillId="0" borderId="4" xfId="0" applyBorder="1"/>
    <xf numFmtId="0" fontId="0" fillId="2" borderId="4" xfId="0" applyFill="1" applyBorder="1"/>
    <xf numFmtId="0" fontId="0" fillId="0" borderId="5" xfId="0" applyBorder="1"/>
    <xf numFmtId="0" fontId="0" fillId="0" borderId="3" xfId="0" applyBorder="1"/>
    <xf numFmtId="0" fontId="0" fillId="0" borderId="7" xfId="0" applyBorder="1"/>
    <xf numFmtId="0" fontId="0" fillId="0" borderId="6" xfId="0" applyBorder="1"/>
    <xf numFmtId="0" fontId="1" fillId="0" borderId="0" xfId="0" applyFont="1"/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0" fontId="1" fillId="2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3" fillId="3" borderId="1" xfId="0" applyFont="1" applyFill="1" applyBorder="1"/>
    <xf numFmtId="10" fontId="5" fillId="7" borderId="1" xfId="0" applyNumberFormat="1" applyFont="1" applyFill="1" applyBorder="1"/>
    <xf numFmtId="10" fontId="4" fillId="8" borderId="1" xfId="0" applyNumberFormat="1" applyFont="1" applyFill="1" applyBorder="1"/>
    <xf numFmtId="10" fontId="6" fillId="9" borderId="1" xfId="0" applyNumberFormat="1" applyFont="1" applyFill="1" applyBorder="1"/>
    <xf numFmtId="0" fontId="7" fillId="0" borderId="0" xfId="0" applyFont="1"/>
    <xf numFmtId="0" fontId="0" fillId="0" borderId="5" xfId="0" applyBorder="1" applyAlignment="1">
      <alignment horizontal="left"/>
    </xf>
    <xf numFmtId="0" fontId="0" fillId="0" borderId="10" xfId="0" applyBorder="1"/>
    <xf numFmtId="0" fontId="0" fillId="0" borderId="7" xfId="0" applyBorder="1" applyAlignment="1">
      <alignment horizontal="left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8" fillId="0" borderId="0" xfId="0" applyFont="1"/>
    <xf numFmtId="0" fontId="2" fillId="0" borderId="0" xfId="0" applyFont="1"/>
    <xf numFmtId="0" fontId="8" fillId="0" borderId="12" xfId="0" applyFont="1" applyBorder="1"/>
    <xf numFmtId="0" fontId="2" fillId="0" borderId="12" xfId="0" applyFont="1" applyBorder="1"/>
    <xf numFmtId="0" fontId="0" fillId="0" borderId="14" xfId="0" applyBorder="1"/>
    <xf numFmtId="0" fontId="8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0" applyFont="1" applyAlignment="1">
      <alignment horizontal="left" vertical="top" wrapText="1"/>
    </xf>
    <xf numFmtId="0" fontId="10" fillId="0" borderId="0" xfId="0" applyFont="1"/>
    <xf numFmtId="0" fontId="11" fillId="0" borderId="0" xfId="0" applyFont="1" applyAlignment="1">
      <alignment horizontal="right"/>
    </xf>
    <xf numFmtId="0" fontId="9" fillId="0" borderId="0" xfId="0" applyFont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/>
    </xf>
    <xf numFmtId="0" fontId="2" fillId="0" borderId="2" xfId="0" applyFont="1" applyBorder="1" applyAlignment="1">
      <alignment horizontal="center" vertical="center" textRotation="90"/>
    </xf>
    <xf numFmtId="0" fontId="0" fillId="0" borderId="4" xfId="0" applyBorder="1"/>
    <xf numFmtId="0" fontId="0" fillId="0" borderId="2" xfId="0" applyBorder="1"/>
    <xf numFmtId="0" fontId="2" fillId="0" borderId="9" xfId="0" applyFont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7" fillId="0" borderId="0" xfId="0" applyFont="1" applyAlignment="1">
      <alignment horizontal="center"/>
    </xf>
    <xf numFmtId="0" fontId="0" fillId="0" borderId="0" xfId="0" applyNumberFormat="1"/>
    <xf numFmtId="0" fontId="0" fillId="0" borderId="0" xfId="0" applyAlignment="1"/>
  </cellXfs>
  <cellStyles count="1">
    <cellStyle name="Normal" xfId="0" builtinId="0"/>
  </cellStyles>
  <dxfs count="25">
    <dxf>
      <alignment vertical="bottom"/>
    </dxf>
    <dxf>
      <alignment vertical="bottom"/>
    </dxf>
    <dxf>
      <alignment horizontal="general"/>
    </dxf>
    <dxf>
      <alignment horizontal="general"/>
    </dxf>
    <dxf>
      <alignment vertical="bottom"/>
    </dxf>
    <dxf>
      <alignment horizontal="general"/>
    </dxf>
    <dxf>
      <font>
        <color theme="1"/>
      </font>
      <fill>
        <patternFill>
          <bgColor rgb="FFA6C9EC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CC00"/>
        </patternFill>
      </fill>
    </dxf>
    <dxf>
      <font>
        <color theme="1"/>
      </font>
      <fill>
        <patternFill>
          <bgColor rgb="FFFF3300"/>
        </patternFill>
      </fill>
    </dxf>
    <dxf>
      <font>
        <color rgb="FF404040"/>
      </font>
      <fill>
        <patternFill>
          <bgColor rgb="FFBFBFB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/>
    </dxf>
    <dxf>
      <alignment vertical="bottom"/>
    </dxf>
    <dxf>
      <alignment horizontal="general"/>
    </dxf>
    <dxf>
      <alignment horizontal="general"/>
    </dxf>
    <dxf>
      <alignment vertical="bottom"/>
    </dxf>
    <dxf>
      <alignment vertical="bottom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  <alignment horizontal="left" vertical="bottom"/>
    </dxf>
    <dxf>
      <alignment horizontal="center" vertical="center"/>
    </dxf>
    <dxf>
      <border diagonalUp="1">
        <bottom style="thin">
          <color auto="1"/>
        </bottom>
        <diagonal style="thin">
          <color auto="1"/>
        </diagonal>
      </border>
    </dxf>
  </dxfs>
  <tableStyles count="1" defaultTableStyle="TableStyleMedium2" defaultPivotStyle="PivotStyleLight16">
    <tableStyle name="PivotTable Style 1" table="0" count="1" xr9:uid="{00000000-0011-0000-FFFF-FFFF00000000}">
      <tableStyleElement type="wholeTable" dxfId="2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cap="none" baseline="0"/>
              <a:t>Compliance status</a:t>
            </a:r>
            <a:endParaRPr lang="en-US" sz="1400" cap="none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ln w="19050">
              <a:solidFill>
                <a:schemeClr val="bg1"/>
              </a:solidFill>
            </a:ln>
            <a:effectLst/>
          </c:spPr>
          <c:dPt>
            <c:idx val="0"/>
            <c:bubble3D val="0"/>
            <c:spPr>
              <a:solidFill>
                <a:srgbClr val="FF3300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308-4561-AEA3-0C58A9EC14B1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7308-4561-AEA3-0C58A9EC14B1}"/>
              </c:ext>
            </c:extLst>
          </c:dPt>
          <c:dPt>
            <c:idx val="2"/>
            <c:bubble3D val="0"/>
            <c:spPr>
              <a:solidFill>
                <a:srgbClr val="BFBFBF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7308-4561-AEA3-0C58A9EC14B1}"/>
              </c:ext>
            </c:extLst>
          </c:dPt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7308-4561-AEA3-0C58A9EC14B1}"/>
                </c:ext>
              </c:extLst>
            </c:dLbl>
            <c:dLbl>
              <c:idx val="1"/>
              <c:layout>
                <c:manualLayout>
                  <c:x val="0"/>
                  <c:y val="-4.9164208456244076E-3"/>
                </c:manualLayout>
              </c:layout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rgbClr val="00B05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08-4561-AEA3-0C58A9EC14B1}"/>
                </c:ext>
              </c:extLst>
            </c:dLbl>
            <c:dLbl>
              <c:idx val="2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ln>
                        <a:noFill/>
                      </a:ln>
                      <a:solidFill>
                        <a:srgbClr val="40404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7308-4561-AEA3-0C58A9EC14B1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Dashboard!$I$4:$I$6</c:f>
              <c:strCache>
                <c:ptCount val="3"/>
                <c:pt idx="0">
                  <c:v>Failed</c:v>
                </c:pt>
                <c:pt idx="1">
                  <c:v>Passed</c:v>
                </c:pt>
                <c:pt idx="2">
                  <c:v>Not evaluated</c:v>
                </c:pt>
              </c:strCache>
            </c:strRef>
          </c:cat>
          <c:val>
            <c:numRef>
              <c:f>Dashboard!$J$4:$J$6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08-4561-AEA3-0C58A9EC14B1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1"/>
          <c:showBubbleSize val="0"/>
          <c:showLeaderLines val="0"/>
        </c:dLbls>
        <c:firstSliceAng val="55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sq" cmpd="sng" algn="ctr">
      <a:solidFill>
        <a:srgbClr val="BFBFBF"/>
      </a:solidFill>
      <a:beve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[report_dashboard_template.xlsx]Pivots!PivotTable6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Service sections by findings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</c:pivotFmt>
      <c:pivotFmt>
        <c:idx val="74"/>
      </c:pivotFmt>
      <c:pivotFmt>
        <c:idx val="75"/>
      </c:pivotFmt>
      <c:pivotFmt>
        <c:idx val="76"/>
      </c:pivotFmt>
      <c:pivotFmt>
        <c:idx val="77"/>
      </c:pivotFmt>
      <c:pivotFmt>
        <c:idx val="78"/>
      </c:pivotFmt>
      <c:pivotFmt>
        <c:idx val="79"/>
      </c:pivotFmt>
      <c:pivotFmt>
        <c:idx val="80"/>
      </c:pivotFmt>
      <c:pivotFmt>
        <c:idx val="81"/>
      </c:pivotFmt>
      <c:pivotFmt>
        <c:idx val="82"/>
      </c:pivotFmt>
      <c:pivotFmt>
        <c:idx val="83"/>
      </c:pivotFmt>
      <c:pivotFmt>
        <c:idx val="84"/>
      </c:pivotFmt>
      <c:pivotFmt>
        <c:idx val="85"/>
      </c:pivotFmt>
      <c:pivotFmt>
        <c:idx val="86"/>
      </c:pivotFmt>
      <c:pivotFmt>
        <c:idx val="87"/>
      </c:pivotFmt>
      <c:pivotFmt>
        <c:idx val="88"/>
      </c:pivotFmt>
      <c:pivotFmt>
        <c:idx val="89"/>
      </c:pivotFmt>
      <c:pivotFmt>
        <c:idx val="90"/>
      </c:pivotFmt>
      <c:pivotFmt>
        <c:idx val="91"/>
      </c:pivotFmt>
      <c:pivotFmt>
        <c:idx val="92"/>
      </c:pivotFmt>
      <c:pivotFmt>
        <c:idx val="93"/>
      </c:pivotFmt>
      <c:pivotFmt>
        <c:idx val="94"/>
      </c:pivotFmt>
      <c:pivotFmt>
        <c:idx val="95"/>
      </c:pivotFmt>
      <c:pivotFmt>
        <c:idx val="96"/>
      </c:pivotFmt>
      <c:pivotFmt>
        <c:idx val="97"/>
      </c:pivotFmt>
      <c:pivotFmt>
        <c:idx val="98"/>
      </c:pivotFmt>
      <c:pivotFmt>
        <c:idx val="99"/>
      </c:pivotFmt>
      <c:pivotFmt>
        <c:idx val="100"/>
      </c:pivotFmt>
      <c:pivotFmt>
        <c:idx val="101"/>
      </c:pivotFmt>
      <c:pivotFmt>
        <c:idx val="102"/>
      </c:pivotFmt>
      <c:pivotFmt>
        <c:idx val="103"/>
      </c:pivotFmt>
      <c:pivotFmt>
        <c:idx val="104"/>
      </c:pivotFmt>
      <c:pivotFmt>
        <c:idx val="105"/>
      </c:pivotFmt>
      <c:pivotFmt>
        <c:idx val="106"/>
      </c:pivotFmt>
      <c:pivotFmt>
        <c:idx val="107"/>
      </c:pivotFmt>
      <c:pivotFmt>
        <c:idx val="108"/>
      </c:pivotFmt>
      <c:pivotFmt>
        <c:idx val="109"/>
      </c:pivotFmt>
      <c:pivotFmt>
        <c:idx val="110"/>
      </c:pivotFmt>
      <c:pivotFmt>
        <c:idx val="111"/>
      </c:pivotFmt>
      <c:pivotFmt>
        <c:idx val="112"/>
      </c:pivotFmt>
      <c:pivotFmt>
        <c:idx val="113"/>
      </c:pivotFmt>
      <c:pivotFmt>
        <c:idx val="114"/>
      </c:pivotFmt>
      <c:pivotFmt>
        <c:idx val="115"/>
      </c:pivotFmt>
      <c:pivotFmt>
        <c:idx val="116"/>
      </c:pivotFmt>
      <c:pivotFmt>
        <c:idx val="117"/>
      </c:pivotFmt>
      <c:pivotFmt>
        <c:idx val="118"/>
      </c:pivotFmt>
      <c:pivotFmt>
        <c:idx val="119"/>
      </c:pivotFmt>
      <c:pivotFmt>
        <c:idx val="120"/>
      </c:pivotFmt>
      <c:pivotFmt>
        <c:idx val="121"/>
      </c:pivotFmt>
      <c:pivotFmt>
        <c:idx val="122"/>
      </c:pivotFmt>
      <c:pivotFmt>
        <c:idx val="123"/>
      </c:pivotFmt>
      <c:pivotFmt>
        <c:idx val="124"/>
      </c:pivotFmt>
      <c:pivotFmt>
        <c:idx val="125"/>
      </c:pivotFmt>
      <c:pivotFmt>
        <c:idx val="126"/>
      </c:pivotFmt>
      <c:pivotFmt>
        <c:idx val="127"/>
      </c:pivotFmt>
      <c:pivotFmt>
        <c:idx val="128"/>
      </c:pivotFmt>
      <c:pivotFmt>
        <c:idx val="129"/>
      </c:pivotFmt>
      <c:pivotFmt>
        <c:idx val="130"/>
      </c:pivotFmt>
      <c:pivotFmt>
        <c:idx val="131"/>
      </c:pivotFmt>
      <c:pivotFmt>
        <c:idx val="132"/>
      </c:pivotFmt>
      <c:pivotFmt>
        <c:idx val="133"/>
      </c:pivotFmt>
      <c:pivotFmt>
        <c:idx val="134"/>
      </c:pivotFmt>
      <c:pivotFmt>
        <c:idx val="135"/>
      </c:pivotFmt>
      <c:pivotFmt>
        <c:idx val="136"/>
      </c:pivotFmt>
      <c:pivotFmt>
        <c:idx val="137"/>
      </c:pivotFmt>
      <c:pivotFmt>
        <c:idx val="138"/>
      </c:pivotFmt>
      <c:pivotFmt>
        <c:idx val="139"/>
      </c:pivotFmt>
      <c:pivotFmt>
        <c:idx val="140"/>
      </c:pivotFmt>
      <c:pivotFmt>
        <c:idx val="141"/>
      </c:pivotFmt>
      <c:pivotFmt>
        <c:idx val="142"/>
      </c:pivotFmt>
      <c:pivotFmt>
        <c:idx val="143"/>
      </c:pivotFmt>
      <c:pivotFmt>
        <c:idx val="144"/>
      </c:pivotFmt>
      <c:pivotFmt>
        <c:idx val="145"/>
      </c:pivotFmt>
      <c:pivotFmt>
        <c:idx val="146"/>
      </c:pivotFmt>
      <c:pivotFmt>
        <c:idx val="147"/>
      </c:pivotFmt>
      <c:pivotFmt>
        <c:idx val="148"/>
      </c:pivotFmt>
      <c:pivotFmt>
        <c:idx val="149"/>
      </c:pivotFmt>
      <c:pivotFmt>
        <c:idx val="150"/>
      </c:pivotFmt>
      <c:pivotFmt>
        <c:idx val="151"/>
      </c:pivotFmt>
      <c:pivotFmt>
        <c:idx val="152"/>
      </c:pivotFmt>
      <c:pivotFmt>
        <c:idx val="153"/>
      </c:pivotFmt>
      <c:pivotFmt>
        <c:idx val="154"/>
      </c:pivotFmt>
      <c:pivotFmt>
        <c:idx val="155"/>
      </c:pivotFmt>
      <c:pivotFmt>
        <c:idx val="156"/>
      </c:pivotFmt>
      <c:pivotFmt>
        <c:idx val="157"/>
      </c:pivotFmt>
      <c:pivotFmt>
        <c:idx val="158"/>
      </c:pivotFmt>
      <c:pivotFmt>
        <c:idx val="159"/>
      </c:pivotFmt>
      <c:pivotFmt>
        <c:idx val="160"/>
      </c:pivotFmt>
      <c:pivotFmt>
        <c:idx val="161"/>
      </c:pivotFmt>
      <c:pivotFmt>
        <c:idx val="162"/>
      </c:pivotFmt>
      <c:pivotFmt>
        <c:idx val="163"/>
      </c:pivotFmt>
      <c:pivotFmt>
        <c:idx val="164"/>
      </c:pivotFmt>
      <c:pivotFmt>
        <c:idx val="165"/>
      </c:pivotFmt>
      <c:pivotFmt>
        <c:idx val="166"/>
      </c:pivotFmt>
      <c:pivotFmt>
        <c:idx val="167"/>
      </c:pivotFmt>
      <c:pivotFmt>
        <c:idx val="168"/>
      </c:pivotFmt>
      <c:pivotFmt>
        <c:idx val="169"/>
      </c:pivotFmt>
      <c:pivotFmt>
        <c:idx val="170"/>
      </c:pivotFmt>
      <c:pivotFmt>
        <c:idx val="171"/>
      </c:pivotFmt>
      <c:pivotFmt>
        <c:idx val="172"/>
      </c:pivotFmt>
      <c:pivotFmt>
        <c:idx val="173"/>
      </c:pivotFmt>
      <c:pivotFmt>
        <c:idx val="174"/>
      </c:pivotFmt>
      <c:pivotFmt>
        <c:idx val="175"/>
      </c:pivotFmt>
      <c:pivotFmt>
        <c:idx val="176"/>
      </c:pivotFmt>
      <c:pivotFmt>
        <c:idx val="177"/>
      </c:pivotFmt>
      <c:pivotFmt>
        <c:idx val="178"/>
      </c:pivotFmt>
      <c:pivotFmt>
        <c:idx val="179"/>
      </c:pivotFmt>
      <c:pivotFmt>
        <c:idx val="180"/>
      </c:pivotFmt>
      <c:pivotFmt>
        <c:idx val="181"/>
      </c:pivotFmt>
      <c:pivotFmt>
        <c:idx val="182"/>
      </c:pivotFmt>
      <c:pivotFmt>
        <c:idx val="183"/>
      </c:pivotFmt>
      <c:pivotFmt>
        <c:idx val="184"/>
      </c:pivotFmt>
      <c:pivotFmt>
        <c:idx val="185"/>
      </c:pivotFmt>
      <c:pivotFmt>
        <c:idx val="186"/>
      </c:pivotFmt>
      <c:pivotFmt>
        <c:idx val="187"/>
      </c:pivotFmt>
      <c:pivotFmt>
        <c:idx val="188"/>
      </c:pivotFmt>
      <c:pivotFmt>
        <c:idx val="189"/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</c:pivotFmt>
      <c:pivotFmt>
        <c:idx val="205"/>
      </c:pivotFmt>
      <c:pivotFmt>
        <c:idx val="206"/>
      </c:pivotFmt>
      <c:pivotFmt>
        <c:idx val="207"/>
      </c:pivotFmt>
      <c:pivotFmt>
        <c:idx val="208"/>
      </c:pivotFmt>
      <c:pivotFmt>
        <c:idx val="209"/>
      </c:pivotFmt>
      <c:pivotFmt>
        <c:idx val="210"/>
      </c:pivotFmt>
      <c:pivotFmt>
        <c:idx val="211"/>
      </c:pivotFmt>
      <c:pivotFmt>
        <c:idx val="212"/>
      </c:pivotFmt>
      <c:pivotFmt>
        <c:idx val="213"/>
      </c:pivotFmt>
      <c:pivotFmt>
        <c:idx val="214"/>
      </c:pivotFmt>
      <c:pivotFmt>
        <c:idx val="215"/>
      </c:pivotFmt>
      <c:pivotFmt>
        <c:idx val="216"/>
      </c:pivotFmt>
      <c:pivotFmt>
        <c:idx val="217"/>
      </c:pivotFmt>
      <c:pivotFmt>
        <c:idx val="218"/>
      </c:pivotFmt>
      <c:pivotFmt>
        <c:idx val="219"/>
      </c:pivotFmt>
      <c:pivotFmt>
        <c:idx val="220"/>
      </c:pivotFmt>
      <c:pivotFmt>
        <c:idx val="221"/>
      </c:pivotFmt>
      <c:pivotFmt>
        <c:idx val="222"/>
      </c:pivotFmt>
      <c:pivotFmt>
        <c:idx val="223"/>
      </c:pivotFmt>
      <c:pivotFmt>
        <c:idx val="224"/>
      </c:pivotFmt>
      <c:pivotFmt>
        <c:idx val="225"/>
      </c:pivotFmt>
      <c:pivotFmt>
        <c:idx val="226"/>
      </c:pivotFmt>
      <c:pivotFmt>
        <c:idx val="227"/>
      </c:pivotFmt>
      <c:pivotFmt>
        <c:idx val="228"/>
      </c:pivotFmt>
      <c:pivotFmt>
        <c:idx val="229"/>
      </c:pivotFmt>
      <c:pivotFmt>
        <c:idx val="230"/>
      </c:pivotFmt>
      <c:pivotFmt>
        <c:idx val="231"/>
      </c:pivotFmt>
      <c:pivotFmt>
        <c:idx val="232"/>
      </c:pivotFmt>
      <c:pivotFmt>
        <c:idx val="233"/>
      </c:pivotFmt>
      <c:pivotFmt>
        <c:idx val="234"/>
      </c:pivotFmt>
      <c:pivotFmt>
        <c:idx val="235"/>
      </c:pivotFmt>
      <c:pivotFmt>
        <c:idx val="236"/>
      </c:pivotFmt>
      <c:pivotFmt>
        <c:idx val="237"/>
      </c:pivotFmt>
      <c:pivotFmt>
        <c:idx val="238"/>
      </c:pivotFmt>
      <c:pivotFmt>
        <c:idx val="239"/>
      </c:pivotFmt>
      <c:pivotFmt>
        <c:idx val="240"/>
      </c:pivotFmt>
      <c:pivotFmt>
        <c:idx val="241"/>
      </c:pivotFmt>
      <c:pivotFmt>
        <c:idx val="242"/>
      </c:pivotFmt>
      <c:pivotFmt>
        <c:idx val="243"/>
      </c:pivotFmt>
      <c:pivotFmt>
        <c:idx val="244"/>
      </c:pivotFmt>
      <c:pivotFmt>
        <c:idx val="245"/>
      </c:pivotFmt>
      <c:pivotFmt>
        <c:idx val="246"/>
      </c:pivotFmt>
      <c:pivotFmt>
        <c:idx val="247"/>
      </c:pivotFmt>
      <c:pivotFmt>
        <c:idx val="248"/>
      </c:pivotFmt>
      <c:pivotFmt>
        <c:idx val="249"/>
      </c:pivotFmt>
      <c:pivotFmt>
        <c:idx val="250"/>
      </c:pivotFmt>
      <c:pivotFmt>
        <c:idx val="251"/>
      </c:pivotFmt>
      <c:pivotFmt>
        <c:idx val="252"/>
      </c:pivotFmt>
      <c:pivotFmt>
        <c:idx val="253"/>
      </c:pivotFmt>
      <c:pivotFmt>
        <c:idx val="254"/>
      </c:pivotFmt>
      <c:pivotFmt>
        <c:idx val="255"/>
      </c:pivotFmt>
      <c:pivotFmt>
        <c:idx val="256"/>
      </c:pivotFmt>
      <c:pivotFmt>
        <c:idx val="257"/>
      </c:pivotFmt>
      <c:pivotFmt>
        <c:idx val="258"/>
      </c:pivotFmt>
      <c:pivotFmt>
        <c:idx val="259"/>
      </c:pivotFmt>
      <c:pivotFmt>
        <c:idx val="260"/>
      </c:pivotFmt>
      <c:pivotFmt>
        <c:idx val="261"/>
      </c:pivotFmt>
      <c:pivotFmt>
        <c:idx val="262"/>
      </c:pivotFmt>
      <c:pivotFmt>
        <c:idx val="263"/>
      </c:pivotFmt>
      <c:pivotFmt>
        <c:idx val="264"/>
      </c:pivotFmt>
      <c:pivotFmt>
        <c:idx val="265"/>
      </c:pivotFmt>
      <c:pivotFmt>
        <c:idx val="266"/>
      </c:pivotFmt>
      <c:pivotFmt>
        <c:idx val="267"/>
      </c:pivotFmt>
      <c:pivotFmt>
        <c:idx val="268"/>
      </c:pivotFmt>
      <c:pivotFmt>
        <c:idx val="269"/>
      </c:pivotFmt>
      <c:pivotFmt>
        <c:idx val="270"/>
      </c:pivotFmt>
      <c:pivotFmt>
        <c:idx val="271"/>
      </c:pivotFmt>
      <c:pivotFmt>
        <c:idx val="272"/>
      </c:pivotFmt>
      <c:pivotFmt>
        <c:idx val="273"/>
      </c:pivotFmt>
      <c:pivotFmt>
        <c:idx val="274"/>
      </c:pivotFmt>
      <c:pivotFmt>
        <c:idx val="275"/>
      </c:pivotFmt>
      <c:pivotFmt>
        <c:idx val="276"/>
      </c:pivotFmt>
      <c:pivotFmt>
        <c:idx val="277"/>
      </c:pivotFmt>
      <c:pivotFmt>
        <c:idx val="278"/>
      </c:pivotFmt>
      <c:pivotFmt>
        <c:idx val="279"/>
      </c:pivotFmt>
      <c:pivotFmt>
        <c:idx val="280"/>
      </c:pivotFmt>
      <c:pivotFmt>
        <c:idx val="281"/>
      </c:pivotFmt>
      <c:pivotFmt>
        <c:idx val="282"/>
      </c:pivotFmt>
      <c:pivotFmt>
        <c:idx val="283"/>
      </c:pivotFmt>
      <c:pivotFmt>
        <c:idx val="284"/>
      </c:pivotFmt>
      <c:pivotFmt>
        <c:idx val="285"/>
      </c:pivotFmt>
      <c:pivotFmt>
        <c:idx val="286"/>
      </c:pivotFmt>
      <c:pivotFmt>
        <c:idx val="287"/>
      </c:pivotFmt>
      <c:pivotFmt>
        <c:idx val="288"/>
      </c:pivotFmt>
      <c:pivotFmt>
        <c:idx val="289"/>
      </c:pivotFmt>
      <c:pivotFmt>
        <c:idx val="290"/>
      </c:pivotFmt>
      <c:pivotFmt>
        <c:idx val="291"/>
      </c:pivotFmt>
      <c:pivotFmt>
        <c:idx val="292"/>
      </c:pivotFmt>
      <c:pivotFmt>
        <c:idx val="293"/>
      </c:pivotFmt>
      <c:pivotFmt>
        <c:idx val="294"/>
      </c:pivotFmt>
      <c:pivotFmt>
        <c:idx val="295"/>
      </c:pivotFmt>
      <c:pivotFmt>
        <c:idx val="296"/>
      </c:pivotFmt>
      <c:pivotFmt>
        <c:idx val="297"/>
      </c:pivotFmt>
      <c:pivotFmt>
        <c:idx val="298"/>
      </c:pivotFmt>
      <c:pivotFmt>
        <c:idx val="299"/>
      </c:pivotFmt>
      <c:pivotFmt>
        <c:idx val="300"/>
      </c:pivotFmt>
      <c:pivotFmt>
        <c:idx val="301"/>
      </c:pivotFmt>
      <c:pivotFmt>
        <c:idx val="302"/>
      </c:pivotFmt>
      <c:pivotFmt>
        <c:idx val="303"/>
      </c:pivotFmt>
      <c:pivotFmt>
        <c:idx val="304"/>
      </c:pivotFmt>
      <c:pivotFmt>
        <c:idx val="305"/>
      </c:pivotFmt>
      <c:pivotFmt>
        <c:idx val="306"/>
      </c:pivotFmt>
      <c:pivotFmt>
        <c:idx val="307"/>
      </c:pivotFmt>
      <c:pivotFmt>
        <c:idx val="308"/>
      </c:pivotFmt>
      <c:pivotFmt>
        <c:idx val="309"/>
      </c:pivotFmt>
      <c:pivotFmt>
        <c:idx val="310"/>
      </c:pivotFmt>
      <c:pivotFmt>
        <c:idx val="311"/>
      </c:pivotFmt>
      <c:pivotFmt>
        <c:idx val="312"/>
      </c:pivotFmt>
      <c:pivotFmt>
        <c:idx val="313"/>
      </c:pivotFmt>
      <c:pivotFmt>
        <c:idx val="314"/>
      </c:pivotFmt>
      <c:pivotFmt>
        <c:idx val="315"/>
      </c:pivotFmt>
      <c:pivotFmt>
        <c:idx val="316"/>
      </c:pivotFmt>
      <c:pivotFmt>
        <c:idx val="317"/>
      </c:pivotFmt>
      <c:pivotFmt>
        <c:idx val="318"/>
      </c:pivotFmt>
      <c:pivotFmt>
        <c:idx val="319"/>
      </c:pivotFmt>
      <c:pivotFmt>
        <c:idx val="320"/>
      </c:pivotFmt>
      <c:pivotFmt>
        <c:idx val="321"/>
      </c:pivotFmt>
      <c:pivotFmt>
        <c:idx val="322"/>
      </c:pivotFmt>
      <c:pivotFmt>
        <c:idx val="323"/>
      </c:pivotFmt>
      <c:pivotFmt>
        <c:idx val="324"/>
      </c:pivotFmt>
      <c:pivotFmt>
        <c:idx val="325"/>
      </c:pivotFmt>
      <c:pivotFmt>
        <c:idx val="326"/>
      </c:pivotFmt>
      <c:pivotFmt>
        <c:idx val="327"/>
      </c:pivotFmt>
      <c:pivotFmt>
        <c:idx val="328"/>
      </c:pivotFmt>
      <c:pivotFmt>
        <c:idx val="329"/>
      </c:pivotFmt>
      <c:pivotFmt>
        <c:idx val="330"/>
      </c:pivotFmt>
      <c:pivotFmt>
        <c:idx val="331"/>
      </c:pivotFmt>
      <c:pivotFmt>
        <c:idx val="332"/>
      </c:pivotFmt>
      <c:pivotFmt>
        <c:idx val="333"/>
      </c:pivotFmt>
      <c:pivotFmt>
        <c:idx val="334"/>
      </c:pivotFmt>
      <c:pivotFmt>
        <c:idx val="335"/>
      </c:pivotFmt>
      <c:pivotFmt>
        <c:idx val="336"/>
      </c:pivotFmt>
      <c:pivotFmt>
        <c:idx val="337"/>
      </c:pivotFmt>
      <c:pivotFmt>
        <c:idx val="338"/>
      </c:pivotFmt>
      <c:pivotFmt>
        <c:idx val="339"/>
      </c:pivotFmt>
      <c:pivotFmt>
        <c:idx val="340"/>
      </c:pivotFmt>
      <c:pivotFmt>
        <c:idx val="341"/>
      </c:pivotFmt>
      <c:pivotFmt>
        <c:idx val="342"/>
      </c:pivotFmt>
      <c:pivotFmt>
        <c:idx val="343"/>
      </c:pivotFmt>
      <c:pivotFmt>
        <c:idx val="344"/>
      </c:pivotFmt>
      <c:pivotFmt>
        <c:idx val="345"/>
      </c:pivotFmt>
      <c:pivotFmt>
        <c:idx val="346"/>
      </c:pivotFmt>
      <c:pivotFmt>
        <c:idx val="347"/>
      </c:pivotFmt>
      <c:pivotFmt>
        <c:idx val="348"/>
      </c:pivotFmt>
      <c:pivotFmt>
        <c:idx val="349"/>
      </c:pivotFmt>
      <c:pivotFmt>
        <c:idx val="350"/>
      </c:pivotFmt>
      <c:pivotFmt>
        <c:idx val="351"/>
      </c:pivotFmt>
      <c:pivotFmt>
        <c:idx val="352"/>
      </c:pivotFmt>
      <c:pivotFmt>
        <c:idx val="353"/>
      </c:pivotFmt>
      <c:pivotFmt>
        <c:idx val="354"/>
      </c:pivotFmt>
      <c:pivotFmt>
        <c:idx val="355"/>
      </c:pivotFmt>
      <c:pivotFmt>
        <c:idx val="356"/>
      </c:pivotFmt>
      <c:pivotFmt>
        <c:idx val="357"/>
      </c:pivotFmt>
      <c:pivotFmt>
        <c:idx val="358"/>
      </c:pivotFmt>
      <c:pivotFmt>
        <c:idx val="359"/>
      </c:pivotFmt>
      <c:pivotFmt>
        <c:idx val="360"/>
      </c:pivotFmt>
      <c:pivotFmt>
        <c:idx val="361"/>
      </c:pivotFmt>
      <c:pivotFmt>
        <c:idx val="362"/>
      </c:pivotFmt>
      <c:pivotFmt>
        <c:idx val="363"/>
      </c:pivotFmt>
      <c:pivotFmt>
        <c:idx val="364"/>
      </c:pivotFmt>
      <c:pivotFmt>
        <c:idx val="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88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89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9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9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0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401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40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403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"/>
      </c:pivotFmt>
      <c:pivotFmt>
        <c:idx val="405"/>
      </c:pivotFmt>
      <c:pivotFmt>
        <c:idx val="406"/>
      </c:pivotFmt>
      <c:pivotFmt>
        <c:idx val="407"/>
      </c:pivotFmt>
      <c:pivotFmt>
        <c:idx val="408"/>
      </c:pivotFmt>
      <c:pivotFmt>
        <c:idx val="40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Pivots!$N$4:$N$5</c:f>
              <c:strCache>
                <c:ptCount val="1"/>
                <c:pt idx="0">
                  <c:v>Total findings</c:v>
                </c:pt>
              </c:strCache>
            </c:strRef>
          </c:tx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C8-E702-4460-A26B-64807780D229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CA-E702-4460-A26B-64807780D229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CC-E702-4460-A26B-64807780D229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CE-E702-4460-A26B-64807780D229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D0-E702-4460-A26B-64807780D229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D1-E702-4460-A26B-64807780D229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D2-E702-4460-A26B-64807780D229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D3-E702-4460-A26B-64807780D229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D4-E702-4460-A26B-64807780D229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D5-E702-4460-A26B-64807780D229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D6-E702-4460-A26B-64807780D229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D7-E702-4460-A26B-64807780D229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D8-E702-4460-A26B-64807780D229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D9-E702-4460-A26B-64807780D229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DA-E702-4460-A26B-64807780D229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DB-E702-4460-A26B-64807780D229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DC-E702-4460-A26B-64807780D229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DD-E702-4460-A26B-64807780D229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DE-E702-4460-A26B-64807780D229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0DF-E702-4460-A26B-64807780D229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0E0-E702-4460-A26B-64807780D229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E1-E702-4460-A26B-64807780D229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E2-E702-4460-A26B-64807780D229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E3-E702-4460-A26B-64807780D229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E4-E702-4460-A26B-64807780D229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E5-E702-4460-A26B-64807780D229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0E6-E702-4460-A26B-64807780D229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0E7-E702-4460-A26B-64807780D229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0E8-E702-4460-A26B-64807780D229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0E9-E702-4460-A26B-64807780D229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0EA-E702-4460-A26B-64807780D229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0EB-E702-4460-A26B-64807780D229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0EC-E702-4460-A26B-64807780D229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0ED-E702-4460-A26B-64807780D229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0EE-E702-4460-A26B-64807780D229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0EF-E702-4460-A26B-64807780D229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0F0-E702-4460-A26B-64807780D229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0F1-E702-4460-A26B-64807780D229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0F2-E702-4460-A26B-64807780D229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0F3-E702-4460-A26B-64807780D229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0F4-E702-4460-A26B-64807780D229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0F5-E702-4460-A26B-64807780D229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0F6-E702-4460-A26B-64807780D229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0F7-E702-4460-A26B-64807780D229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0F8-E702-4460-A26B-64807780D229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0F9-E702-4460-A26B-64807780D229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0FA-E702-4460-A26B-64807780D229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0FB-E702-4460-A26B-64807780D229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0FC-E702-4460-A26B-64807780D229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0FD-E702-4460-A26B-64807780D229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0FE-E702-4460-A26B-64807780D229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0FF-E702-4460-A26B-64807780D229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100-E702-4460-A26B-64807780D229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101-E702-4460-A26B-64807780D229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102-E702-4460-A26B-64807780D229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103-E702-4460-A26B-64807780D229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104-E702-4460-A26B-64807780D229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105-E702-4460-A26B-64807780D229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106-E702-4460-A26B-64807780D229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107-E702-4460-A26B-64807780D229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108-E702-4460-A26B-64807780D229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109-E702-4460-A26B-64807780D229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10A-E702-4460-A26B-64807780D229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10B-E702-4460-A26B-64807780D229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10C-E702-4460-A26B-64807780D229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10D-E702-4460-A26B-64807780D229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10E-E702-4460-A26B-64807780D229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10F-E702-4460-A26B-64807780D229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110-E702-4460-A26B-64807780D229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111-E702-4460-A26B-64807780D229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112-E702-4460-A26B-64807780D229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113-E702-4460-A26B-64807780D229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114-E702-4460-A26B-64807780D229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115-E702-4460-A26B-64807780D229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116-E702-4460-A26B-64807780D229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117-E702-4460-A26B-64807780D229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118-E702-4460-A26B-64807780D229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119-E702-4460-A26B-64807780D229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11A-E702-4460-A26B-64807780D229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11B-E702-4460-A26B-64807780D229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11C-E702-4460-A26B-64807780D229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11D-E702-4460-A26B-64807780D229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11E-E702-4460-A26B-64807780D229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11F-E702-4460-A26B-64807780D229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120-E702-4460-A26B-64807780D229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121-E702-4460-A26B-64807780D229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122-E702-4460-A26B-64807780D229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123-E702-4460-A26B-64807780D229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124-E702-4460-A26B-64807780D229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125-E702-4460-A26B-64807780D229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126-E702-4460-A26B-64807780D229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127-E702-4460-A26B-64807780D229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128-E702-4460-A26B-64807780D229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129-E702-4460-A26B-64807780D229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12A-E702-4460-A26B-64807780D229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12B-E702-4460-A26B-64807780D229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12C-E702-4460-A26B-64807780D229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12D-E702-4460-A26B-64807780D229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12E-E702-4460-A26B-64807780D22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Pivots!$M$6</c:f>
              <c:strCache>
                <c:ptCount val="1"/>
                <c:pt idx="0">
                  <c:v>Total findings</c:v>
                </c:pt>
              </c:strCache>
            </c:strRef>
          </c:cat>
          <c:val>
            <c:numRef>
              <c:f>Pivots!$N$6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2F-E702-4460-A26B-64807780D22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rgbClr val="BFBFBF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[report_dashboard_template.xlsx]Pivots!PivotTable1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Resource types by findings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</c:pivotFmt>
      <c:pivotFmt>
        <c:idx val="74"/>
      </c:pivotFmt>
      <c:pivotFmt>
        <c:idx val="75"/>
      </c:pivotFmt>
      <c:pivotFmt>
        <c:idx val="76"/>
      </c:pivotFmt>
      <c:pivotFmt>
        <c:idx val="77"/>
      </c:pivotFmt>
      <c:pivotFmt>
        <c:idx val="78"/>
      </c:pivotFmt>
      <c:pivotFmt>
        <c:idx val="79"/>
      </c:pivotFmt>
      <c:pivotFmt>
        <c:idx val="80"/>
      </c:pivotFmt>
      <c:pivotFmt>
        <c:idx val="81"/>
      </c:pivotFmt>
      <c:pivotFmt>
        <c:idx val="82"/>
      </c:pivotFmt>
      <c:pivotFmt>
        <c:idx val="83"/>
      </c:pivotFmt>
      <c:pivotFmt>
        <c:idx val="84"/>
      </c:pivotFmt>
      <c:pivotFmt>
        <c:idx val="85"/>
      </c:pivotFmt>
      <c:pivotFmt>
        <c:idx val="86"/>
      </c:pivotFmt>
      <c:pivotFmt>
        <c:idx val="87"/>
      </c:pivotFmt>
      <c:pivotFmt>
        <c:idx val="88"/>
      </c:pivotFmt>
      <c:pivotFmt>
        <c:idx val="89"/>
      </c:pivotFmt>
      <c:pivotFmt>
        <c:idx val="90"/>
      </c:pivotFmt>
      <c:pivotFmt>
        <c:idx val="91"/>
      </c:pivotFmt>
      <c:pivotFmt>
        <c:idx val="92"/>
      </c:pivotFmt>
      <c:pivotFmt>
        <c:idx val="93"/>
      </c:pivotFmt>
      <c:pivotFmt>
        <c:idx val="94"/>
      </c:pivotFmt>
      <c:pivotFmt>
        <c:idx val="95"/>
      </c:pivotFmt>
      <c:pivotFmt>
        <c:idx val="96"/>
      </c:pivotFmt>
      <c:pivotFmt>
        <c:idx val="97"/>
      </c:pivotFmt>
      <c:pivotFmt>
        <c:idx val="98"/>
      </c:pivotFmt>
      <c:pivotFmt>
        <c:idx val="99"/>
      </c:pivotFmt>
      <c:pivotFmt>
        <c:idx val="100"/>
      </c:pivotFmt>
      <c:pivotFmt>
        <c:idx val="101"/>
      </c:pivotFmt>
      <c:pivotFmt>
        <c:idx val="102"/>
      </c:pivotFmt>
      <c:pivotFmt>
        <c:idx val="103"/>
      </c:pivotFmt>
      <c:pivotFmt>
        <c:idx val="104"/>
      </c:pivotFmt>
      <c:pivotFmt>
        <c:idx val="105"/>
      </c:pivotFmt>
      <c:pivotFmt>
        <c:idx val="106"/>
      </c:pivotFmt>
      <c:pivotFmt>
        <c:idx val="107"/>
      </c:pivotFmt>
      <c:pivotFmt>
        <c:idx val="108"/>
      </c:pivotFmt>
      <c:pivotFmt>
        <c:idx val="109"/>
      </c:pivotFmt>
      <c:pivotFmt>
        <c:idx val="110"/>
      </c:pivotFmt>
      <c:pivotFmt>
        <c:idx val="111"/>
      </c:pivotFmt>
      <c:pivotFmt>
        <c:idx val="112"/>
      </c:pivotFmt>
      <c:pivotFmt>
        <c:idx val="113"/>
      </c:pivotFmt>
      <c:pivotFmt>
        <c:idx val="114"/>
      </c:pivotFmt>
      <c:pivotFmt>
        <c:idx val="115"/>
      </c:pivotFmt>
      <c:pivotFmt>
        <c:idx val="116"/>
      </c:pivotFmt>
      <c:pivotFmt>
        <c:idx val="117"/>
      </c:pivotFmt>
      <c:pivotFmt>
        <c:idx val="118"/>
      </c:pivotFmt>
      <c:pivotFmt>
        <c:idx val="119"/>
      </c:pivotFmt>
      <c:pivotFmt>
        <c:idx val="120"/>
      </c:pivotFmt>
      <c:pivotFmt>
        <c:idx val="121"/>
      </c:pivotFmt>
      <c:pivotFmt>
        <c:idx val="122"/>
      </c:pivotFmt>
      <c:pivotFmt>
        <c:idx val="123"/>
      </c:pivotFmt>
      <c:pivotFmt>
        <c:idx val="124"/>
      </c:pivotFmt>
      <c:pivotFmt>
        <c:idx val="125"/>
      </c:pivotFmt>
      <c:pivotFmt>
        <c:idx val="126"/>
      </c:pivotFmt>
      <c:pivotFmt>
        <c:idx val="127"/>
      </c:pivotFmt>
      <c:pivotFmt>
        <c:idx val="128"/>
      </c:pivotFmt>
      <c:pivotFmt>
        <c:idx val="129"/>
      </c:pivotFmt>
      <c:pivotFmt>
        <c:idx val="130"/>
      </c:pivotFmt>
      <c:pivotFmt>
        <c:idx val="131"/>
      </c:pivotFmt>
      <c:pivotFmt>
        <c:idx val="132"/>
      </c:pivotFmt>
      <c:pivotFmt>
        <c:idx val="133"/>
      </c:pivotFmt>
      <c:pivotFmt>
        <c:idx val="134"/>
      </c:pivotFmt>
      <c:pivotFmt>
        <c:idx val="135"/>
      </c:pivotFmt>
      <c:pivotFmt>
        <c:idx val="136"/>
      </c:pivotFmt>
      <c:pivotFmt>
        <c:idx val="137"/>
      </c:pivotFmt>
      <c:pivotFmt>
        <c:idx val="138"/>
      </c:pivotFmt>
      <c:pivotFmt>
        <c:idx val="139"/>
      </c:pivotFmt>
      <c:pivotFmt>
        <c:idx val="140"/>
      </c:pivotFmt>
      <c:pivotFmt>
        <c:idx val="141"/>
      </c:pivotFmt>
      <c:pivotFmt>
        <c:idx val="142"/>
      </c:pivotFmt>
      <c:pivotFmt>
        <c:idx val="143"/>
      </c:pivotFmt>
      <c:pivotFmt>
        <c:idx val="144"/>
      </c:pivotFmt>
      <c:pivotFmt>
        <c:idx val="145"/>
      </c:pivotFmt>
      <c:pivotFmt>
        <c:idx val="146"/>
      </c:pivotFmt>
      <c:pivotFmt>
        <c:idx val="147"/>
      </c:pivotFmt>
      <c:pivotFmt>
        <c:idx val="148"/>
      </c:pivotFmt>
      <c:pivotFmt>
        <c:idx val="149"/>
      </c:pivotFmt>
      <c:pivotFmt>
        <c:idx val="150"/>
      </c:pivotFmt>
      <c:pivotFmt>
        <c:idx val="151"/>
      </c:pivotFmt>
      <c:pivotFmt>
        <c:idx val="152"/>
      </c:pivotFmt>
      <c:pivotFmt>
        <c:idx val="153"/>
      </c:pivotFmt>
      <c:pivotFmt>
        <c:idx val="154"/>
      </c:pivotFmt>
      <c:pivotFmt>
        <c:idx val="155"/>
      </c:pivotFmt>
      <c:pivotFmt>
        <c:idx val="156"/>
      </c:pivotFmt>
      <c:pivotFmt>
        <c:idx val="157"/>
      </c:pivotFmt>
      <c:pivotFmt>
        <c:idx val="158"/>
      </c:pivotFmt>
      <c:pivotFmt>
        <c:idx val="159"/>
      </c:pivotFmt>
      <c:pivotFmt>
        <c:idx val="160"/>
      </c:pivotFmt>
      <c:pivotFmt>
        <c:idx val="161"/>
      </c:pivotFmt>
      <c:pivotFmt>
        <c:idx val="162"/>
      </c:pivotFmt>
      <c:pivotFmt>
        <c:idx val="163"/>
      </c:pivotFmt>
      <c:pivotFmt>
        <c:idx val="164"/>
      </c:pivotFmt>
      <c:pivotFmt>
        <c:idx val="165"/>
      </c:pivotFmt>
      <c:pivotFmt>
        <c:idx val="166"/>
      </c:pivotFmt>
      <c:pivotFmt>
        <c:idx val="167"/>
      </c:pivotFmt>
      <c:pivotFmt>
        <c:idx val="168"/>
      </c:pivotFmt>
      <c:pivotFmt>
        <c:idx val="169"/>
      </c:pivotFmt>
      <c:pivotFmt>
        <c:idx val="170"/>
      </c:pivotFmt>
      <c:pivotFmt>
        <c:idx val="171"/>
      </c:pivotFmt>
      <c:pivotFmt>
        <c:idx val="172"/>
      </c:pivotFmt>
      <c:pivotFmt>
        <c:idx val="173"/>
      </c:pivotFmt>
      <c:pivotFmt>
        <c:idx val="174"/>
      </c:pivotFmt>
      <c:pivotFmt>
        <c:idx val="175"/>
      </c:pivotFmt>
      <c:pivotFmt>
        <c:idx val="176"/>
      </c:pivotFmt>
      <c:pivotFmt>
        <c:idx val="177"/>
      </c:pivotFmt>
      <c:pivotFmt>
        <c:idx val="178"/>
      </c:pivotFmt>
      <c:pivotFmt>
        <c:idx val="179"/>
      </c:pivotFmt>
      <c:pivotFmt>
        <c:idx val="180"/>
      </c:pivotFmt>
      <c:pivotFmt>
        <c:idx val="181"/>
      </c:pivotFmt>
      <c:pivotFmt>
        <c:idx val="182"/>
      </c:pivotFmt>
      <c:pivotFmt>
        <c:idx val="183"/>
      </c:pivotFmt>
      <c:pivotFmt>
        <c:idx val="184"/>
      </c:pivotFmt>
      <c:pivotFmt>
        <c:idx val="185"/>
      </c:pivotFmt>
      <c:pivotFmt>
        <c:idx val="186"/>
      </c:pivotFmt>
      <c:pivotFmt>
        <c:idx val="187"/>
      </c:pivotFmt>
      <c:pivotFmt>
        <c:idx val="188"/>
      </c:pivotFmt>
      <c:pivotFmt>
        <c:idx val="189"/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</c:pivotFmt>
      <c:pivotFmt>
        <c:idx val="205"/>
      </c:pivotFmt>
      <c:pivotFmt>
        <c:idx val="206"/>
      </c:pivotFmt>
      <c:pivotFmt>
        <c:idx val="207"/>
      </c:pivotFmt>
      <c:pivotFmt>
        <c:idx val="208"/>
      </c:pivotFmt>
      <c:pivotFmt>
        <c:idx val="209"/>
      </c:pivotFmt>
      <c:pivotFmt>
        <c:idx val="210"/>
      </c:pivotFmt>
      <c:pivotFmt>
        <c:idx val="211"/>
      </c:pivotFmt>
      <c:pivotFmt>
        <c:idx val="212"/>
      </c:pivotFmt>
      <c:pivotFmt>
        <c:idx val="213"/>
      </c:pivotFmt>
      <c:pivotFmt>
        <c:idx val="214"/>
      </c:pivotFmt>
      <c:pivotFmt>
        <c:idx val="215"/>
      </c:pivotFmt>
      <c:pivotFmt>
        <c:idx val="216"/>
      </c:pivotFmt>
      <c:pivotFmt>
        <c:idx val="217"/>
      </c:pivotFmt>
      <c:pivotFmt>
        <c:idx val="218"/>
      </c:pivotFmt>
      <c:pivotFmt>
        <c:idx val="219"/>
      </c:pivotFmt>
      <c:pivotFmt>
        <c:idx val="220"/>
      </c:pivotFmt>
      <c:pivotFmt>
        <c:idx val="221"/>
      </c:pivotFmt>
      <c:pivotFmt>
        <c:idx val="222"/>
      </c:pivotFmt>
      <c:pivotFmt>
        <c:idx val="223"/>
      </c:pivotFmt>
      <c:pivotFmt>
        <c:idx val="224"/>
      </c:pivotFmt>
      <c:pivotFmt>
        <c:idx val="225"/>
      </c:pivotFmt>
      <c:pivotFmt>
        <c:idx val="226"/>
      </c:pivotFmt>
      <c:pivotFmt>
        <c:idx val="227"/>
      </c:pivotFmt>
      <c:pivotFmt>
        <c:idx val="228"/>
      </c:pivotFmt>
      <c:pivotFmt>
        <c:idx val="229"/>
      </c:pivotFmt>
      <c:pivotFmt>
        <c:idx val="230"/>
      </c:pivotFmt>
      <c:pivotFmt>
        <c:idx val="231"/>
      </c:pivotFmt>
      <c:pivotFmt>
        <c:idx val="232"/>
      </c:pivotFmt>
      <c:pivotFmt>
        <c:idx val="233"/>
      </c:pivotFmt>
      <c:pivotFmt>
        <c:idx val="234"/>
      </c:pivotFmt>
      <c:pivotFmt>
        <c:idx val="235"/>
      </c:pivotFmt>
      <c:pivotFmt>
        <c:idx val="236"/>
      </c:pivotFmt>
      <c:pivotFmt>
        <c:idx val="237"/>
      </c:pivotFmt>
      <c:pivotFmt>
        <c:idx val="238"/>
      </c:pivotFmt>
      <c:pivotFmt>
        <c:idx val="239"/>
      </c:pivotFmt>
      <c:pivotFmt>
        <c:idx val="240"/>
      </c:pivotFmt>
      <c:pivotFmt>
        <c:idx val="241"/>
      </c:pivotFmt>
      <c:pivotFmt>
        <c:idx val="242"/>
      </c:pivotFmt>
      <c:pivotFmt>
        <c:idx val="243"/>
      </c:pivotFmt>
      <c:pivotFmt>
        <c:idx val="244"/>
      </c:pivotFmt>
      <c:pivotFmt>
        <c:idx val="245"/>
      </c:pivotFmt>
      <c:pivotFmt>
        <c:idx val="246"/>
      </c:pivotFmt>
      <c:pivotFmt>
        <c:idx val="247"/>
      </c:pivotFmt>
      <c:pivotFmt>
        <c:idx val="248"/>
      </c:pivotFmt>
      <c:pivotFmt>
        <c:idx val="249"/>
      </c:pivotFmt>
      <c:pivotFmt>
        <c:idx val="250"/>
      </c:pivotFmt>
      <c:pivotFmt>
        <c:idx val="251"/>
      </c:pivotFmt>
      <c:pivotFmt>
        <c:idx val="252"/>
      </c:pivotFmt>
      <c:pivotFmt>
        <c:idx val="253"/>
      </c:pivotFmt>
      <c:pivotFmt>
        <c:idx val="254"/>
      </c:pivotFmt>
      <c:pivotFmt>
        <c:idx val="255"/>
      </c:pivotFmt>
      <c:pivotFmt>
        <c:idx val="256"/>
      </c:pivotFmt>
      <c:pivotFmt>
        <c:idx val="257"/>
      </c:pivotFmt>
      <c:pivotFmt>
        <c:idx val="258"/>
      </c:pivotFmt>
      <c:pivotFmt>
        <c:idx val="259"/>
      </c:pivotFmt>
      <c:pivotFmt>
        <c:idx val="260"/>
      </c:pivotFmt>
      <c:pivotFmt>
        <c:idx val="261"/>
      </c:pivotFmt>
      <c:pivotFmt>
        <c:idx val="262"/>
      </c:pivotFmt>
      <c:pivotFmt>
        <c:idx val="263"/>
      </c:pivotFmt>
      <c:pivotFmt>
        <c:idx val="264"/>
      </c:pivotFmt>
      <c:pivotFmt>
        <c:idx val="265"/>
      </c:pivotFmt>
      <c:pivotFmt>
        <c:idx val="266"/>
      </c:pivotFmt>
      <c:pivotFmt>
        <c:idx val="267"/>
      </c:pivotFmt>
      <c:pivotFmt>
        <c:idx val="268"/>
      </c:pivotFmt>
      <c:pivotFmt>
        <c:idx val="269"/>
      </c:pivotFmt>
      <c:pivotFmt>
        <c:idx val="270"/>
      </c:pivotFmt>
      <c:pivotFmt>
        <c:idx val="271"/>
      </c:pivotFmt>
      <c:pivotFmt>
        <c:idx val="272"/>
      </c:pivotFmt>
      <c:pivotFmt>
        <c:idx val="273"/>
      </c:pivotFmt>
      <c:pivotFmt>
        <c:idx val="274"/>
      </c:pivotFmt>
      <c:pivotFmt>
        <c:idx val="275"/>
      </c:pivotFmt>
      <c:pivotFmt>
        <c:idx val="276"/>
      </c:pivotFmt>
      <c:pivotFmt>
        <c:idx val="277"/>
      </c:pivotFmt>
      <c:pivotFmt>
        <c:idx val="278"/>
      </c:pivotFmt>
      <c:pivotFmt>
        <c:idx val="279"/>
      </c:pivotFmt>
      <c:pivotFmt>
        <c:idx val="280"/>
      </c:pivotFmt>
      <c:pivotFmt>
        <c:idx val="281"/>
      </c:pivotFmt>
      <c:pivotFmt>
        <c:idx val="282"/>
      </c:pivotFmt>
      <c:pivotFmt>
        <c:idx val="283"/>
      </c:pivotFmt>
      <c:pivotFmt>
        <c:idx val="284"/>
      </c:pivotFmt>
      <c:pivotFmt>
        <c:idx val="285"/>
      </c:pivotFmt>
      <c:pivotFmt>
        <c:idx val="286"/>
      </c:pivotFmt>
      <c:pivotFmt>
        <c:idx val="287"/>
      </c:pivotFmt>
      <c:pivotFmt>
        <c:idx val="288"/>
      </c:pivotFmt>
      <c:pivotFmt>
        <c:idx val="289"/>
      </c:pivotFmt>
      <c:pivotFmt>
        <c:idx val="290"/>
      </c:pivotFmt>
      <c:pivotFmt>
        <c:idx val="291"/>
      </c:pivotFmt>
      <c:pivotFmt>
        <c:idx val="292"/>
      </c:pivotFmt>
      <c:pivotFmt>
        <c:idx val="293"/>
      </c:pivotFmt>
      <c:pivotFmt>
        <c:idx val="294"/>
      </c:pivotFmt>
      <c:pivotFmt>
        <c:idx val="295"/>
      </c:pivotFmt>
      <c:pivotFmt>
        <c:idx val="296"/>
      </c:pivotFmt>
      <c:pivotFmt>
        <c:idx val="297"/>
      </c:pivotFmt>
      <c:pivotFmt>
        <c:idx val="298"/>
      </c:pivotFmt>
      <c:pivotFmt>
        <c:idx val="299"/>
      </c:pivotFmt>
      <c:pivotFmt>
        <c:idx val="300"/>
      </c:pivotFmt>
      <c:pivotFmt>
        <c:idx val="301"/>
      </c:pivotFmt>
      <c:pivotFmt>
        <c:idx val="302"/>
      </c:pivotFmt>
      <c:pivotFmt>
        <c:idx val="303"/>
      </c:pivotFmt>
      <c:pivotFmt>
        <c:idx val="304"/>
      </c:pivotFmt>
      <c:pivotFmt>
        <c:idx val="305"/>
      </c:pivotFmt>
      <c:pivotFmt>
        <c:idx val="306"/>
      </c:pivotFmt>
      <c:pivotFmt>
        <c:idx val="307"/>
      </c:pivotFmt>
      <c:pivotFmt>
        <c:idx val="308"/>
      </c:pivotFmt>
      <c:pivotFmt>
        <c:idx val="309"/>
      </c:pivotFmt>
      <c:pivotFmt>
        <c:idx val="310"/>
      </c:pivotFmt>
      <c:pivotFmt>
        <c:idx val="311"/>
      </c:pivotFmt>
      <c:pivotFmt>
        <c:idx val="312"/>
      </c:pivotFmt>
      <c:pivotFmt>
        <c:idx val="313"/>
      </c:pivotFmt>
      <c:pivotFmt>
        <c:idx val="314"/>
      </c:pivotFmt>
      <c:pivotFmt>
        <c:idx val="315"/>
      </c:pivotFmt>
      <c:pivotFmt>
        <c:idx val="316"/>
      </c:pivotFmt>
      <c:pivotFmt>
        <c:idx val="317"/>
      </c:pivotFmt>
      <c:pivotFmt>
        <c:idx val="318"/>
      </c:pivotFmt>
      <c:pivotFmt>
        <c:idx val="319"/>
      </c:pivotFmt>
      <c:pivotFmt>
        <c:idx val="320"/>
      </c:pivotFmt>
      <c:pivotFmt>
        <c:idx val="321"/>
      </c:pivotFmt>
      <c:pivotFmt>
        <c:idx val="322"/>
      </c:pivotFmt>
      <c:pivotFmt>
        <c:idx val="323"/>
      </c:pivotFmt>
      <c:pivotFmt>
        <c:idx val="324"/>
      </c:pivotFmt>
      <c:pivotFmt>
        <c:idx val="325"/>
      </c:pivotFmt>
      <c:pivotFmt>
        <c:idx val="326"/>
      </c:pivotFmt>
      <c:pivotFmt>
        <c:idx val="327"/>
      </c:pivotFmt>
      <c:pivotFmt>
        <c:idx val="328"/>
      </c:pivotFmt>
      <c:pivotFmt>
        <c:idx val="329"/>
      </c:pivotFmt>
      <c:pivotFmt>
        <c:idx val="330"/>
      </c:pivotFmt>
      <c:pivotFmt>
        <c:idx val="331"/>
      </c:pivotFmt>
      <c:pivotFmt>
        <c:idx val="332"/>
      </c:pivotFmt>
      <c:pivotFmt>
        <c:idx val="333"/>
      </c:pivotFmt>
      <c:pivotFmt>
        <c:idx val="334"/>
      </c:pivotFmt>
      <c:pivotFmt>
        <c:idx val="335"/>
      </c:pivotFmt>
      <c:pivotFmt>
        <c:idx val="336"/>
      </c:pivotFmt>
      <c:pivotFmt>
        <c:idx val="337"/>
      </c:pivotFmt>
      <c:pivotFmt>
        <c:idx val="338"/>
      </c:pivotFmt>
      <c:pivotFmt>
        <c:idx val="339"/>
      </c:pivotFmt>
      <c:pivotFmt>
        <c:idx val="340"/>
      </c:pivotFmt>
      <c:pivotFmt>
        <c:idx val="341"/>
      </c:pivotFmt>
      <c:pivotFmt>
        <c:idx val="342"/>
      </c:pivotFmt>
      <c:pivotFmt>
        <c:idx val="343"/>
      </c:pivotFmt>
      <c:pivotFmt>
        <c:idx val="344"/>
      </c:pivotFmt>
      <c:pivotFmt>
        <c:idx val="345"/>
      </c:pivotFmt>
      <c:pivotFmt>
        <c:idx val="346"/>
      </c:pivotFmt>
      <c:pivotFmt>
        <c:idx val="347"/>
      </c:pivotFmt>
      <c:pivotFmt>
        <c:idx val="348"/>
      </c:pivotFmt>
      <c:pivotFmt>
        <c:idx val="349"/>
      </c:pivotFmt>
      <c:pivotFmt>
        <c:idx val="350"/>
      </c:pivotFmt>
      <c:pivotFmt>
        <c:idx val="351"/>
      </c:pivotFmt>
      <c:pivotFmt>
        <c:idx val="352"/>
      </c:pivotFmt>
      <c:pivotFmt>
        <c:idx val="353"/>
      </c:pivotFmt>
      <c:pivotFmt>
        <c:idx val="354"/>
      </c:pivotFmt>
      <c:pivotFmt>
        <c:idx val="355"/>
      </c:pivotFmt>
      <c:pivotFmt>
        <c:idx val="356"/>
      </c:pivotFmt>
      <c:pivotFmt>
        <c:idx val="357"/>
      </c:pivotFmt>
      <c:pivotFmt>
        <c:idx val="358"/>
      </c:pivotFmt>
      <c:pivotFmt>
        <c:idx val="359"/>
      </c:pivotFmt>
      <c:pivotFmt>
        <c:idx val="360"/>
      </c:pivotFmt>
      <c:pivotFmt>
        <c:idx val="361"/>
      </c:pivotFmt>
      <c:pivotFmt>
        <c:idx val="362"/>
      </c:pivotFmt>
      <c:pivotFmt>
        <c:idx val="363"/>
      </c:pivotFmt>
      <c:pivotFmt>
        <c:idx val="364"/>
      </c:pivotFmt>
      <c:pivotFmt>
        <c:idx val="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88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89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9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9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0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401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40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403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"/>
      </c:pivotFmt>
      <c:pivotFmt>
        <c:idx val="405"/>
      </c:pivotFmt>
      <c:pivotFmt>
        <c:idx val="406"/>
      </c:pivotFmt>
      <c:pivotFmt>
        <c:idx val="407"/>
      </c:pivotFmt>
      <c:pivotFmt>
        <c:idx val="408"/>
      </c:pivotFmt>
      <c:pivotFmt>
        <c:idx val="40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Pivots!$B$4:$B$5</c:f>
              <c:strCache>
                <c:ptCount val="1"/>
                <c:pt idx="0">
                  <c:v>Total Findings</c:v>
                </c:pt>
              </c:strCache>
            </c:strRef>
          </c:tx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464-E71F-4138-A069-36C58ED45730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465-E71F-4138-A069-36C58ED45730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466-E71F-4138-A069-36C58ED45730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467-E71F-4138-A069-36C58ED45730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468-E71F-4138-A069-36C58ED45730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469-E71F-4138-A069-36C58ED45730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46A-E71F-4138-A069-36C58ED45730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46B-E71F-4138-A069-36C58ED45730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46C-E71F-4138-A069-36C58ED45730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46D-E71F-4138-A069-36C58ED45730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46E-E71F-4138-A069-36C58ED45730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46F-E71F-4138-A069-36C58ED45730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470-E71F-4138-A069-36C58ED45730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471-E71F-4138-A069-36C58ED45730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472-E71F-4138-A069-36C58ED45730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473-E71F-4138-A069-36C58ED45730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474-E71F-4138-A069-36C58ED45730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475-E71F-4138-A069-36C58ED45730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476-E71F-4138-A069-36C58ED45730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477-E71F-4138-A069-36C58ED45730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478-E71F-4138-A069-36C58ED45730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479-E71F-4138-A069-36C58ED45730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47A-E71F-4138-A069-36C58ED45730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47B-E71F-4138-A069-36C58ED45730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47C-E71F-4138-A069-36C58ED45730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47D-E71F-4138-A069-36C58ED45730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47E-E71F-4138-A069-36C58ED45730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47F-E71F-4138-A069-36C58ED45730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480-E71F-4138-A069-36C58ED45730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481-E71F-4138-A069-36C58ED45730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482-E71F-4138-A069-36C58ED45730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483-E71F-4138-A069-36C58ED45730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484-E71F-4138-A069-36C58ED45730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485-E71F-4138-A069-36C58ED45730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486-E71F-4138-A069-36C58ED45730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487-E71F-4138-A069-36C58ED45730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488-E71F-4138-A069-36C58ED45730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489-E71F-4138-A069-36C58ED45730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48A-E71F-4138-A069-36C58ED45730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48B-E71F-4138-A069-36C58ED45730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48C-E71F-4138-A069-36C58ED45730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48D-E71F-4138-A069-36C58ED45730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48E-E71F-4138-A069-36C58ED45730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48F-E71F-4138-A069-36C58ED45730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490-E71F-4138-A069-36C58ED45730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491-E71F-4138-A069-36C58ED45730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492-E71F-4138-A069-36C58ED45730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493-E71F-4138-A069-36C58ED45730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494-E71F-4138-A069-36C58ED45730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495-E71F-4138-A069-36C58ED45730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496-E71F-4138-A069-36C58ED45730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497-E71F-4138-A069-36C58ED45730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498-E71F-4138-A069-36C58ED45730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499-E71F-4138-A069-36C58ED45730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49A-E71F-4138-A069-36C58ED45730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49B-E71F-4138-A069-36C58ED45730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49C-E71F-4138-A069-36C58ED45730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49D-E71F-4138-A069-36C58ED45730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49E-E71F-4138-A069-36C58ED45730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49F-E71F-4138-A069-36C58ED45730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4A0-E71F-4138-A069-36C58ED45730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4A1-E71F-4138-A069-36C58ED45730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4A2-E71F-4138-A069-36C58ED45730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4A3-E71F-4138-A069-36C58ED45730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4A4-E71F-4138-A069-36C58ED45730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4A5-E71F-4138-A069-36C58ED45730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4A6-E71F-4138-A069-36C58ED45730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4A7-E71F-4138-A069-36C58ED45730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4A8-E71F-4138-A069-36C58ED45730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4A9-E71F-4138-A069-36C58ED45730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4AA-E71F-4138-A069-36C58ED45730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4AB-E71F-4138-A069-36C58ED45730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4AC-E71F-4138-A069-36C58ED45730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4AD-E71F-4138-A069-36C58ED45730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4AE-E71F-4138-A069-36C58ED45730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4AF-E71F-4138-A069-36C58ED45730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4B0-E71F-4138-A069-36C58ED45730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4B1-E71F-4138-A069-36C58ED45730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4B2-E71F-4138-A069-36C58ED45730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4B3-E71F-4138-A069-36C58ED45730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4B4-E71F-4138-A069-36C58ED45730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4B5-E71F-4138-A069-36C58ED45730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4B6-E71F-4138-A069-36C58ED45730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4B7-E71F-4138-A069-36C58ED45730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4B8-E71F-4138-A069-36C58ED45730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4B9-E71F-4138-A069-36C58ED45730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4BA-E71F-4138-A069-36C58ED45730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4BB-E71F-4138-A069-36C58ED45730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4BC-E71F-4138-A069-36C58ED45730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4BD-E71F-4138-A069-36C58ED45730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4BE-E71F-4138-A069-36C58ED45730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4BF-E71F-4138-A069-36C58ED45730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4C0-E71F-4138-A069-36C58ED45730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4C1-E71F-4138-A069-36C58ED45730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4C2-E71F-4138-A069-36C58ED45730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4C3-E71F-4138-A069-36C58ED45730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4C4-E71F-4138-A069-36C58ED45730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4C5-E71F-4138-A069-36C58ED45730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4C6-E71F-4138-A069-36C58ED4573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Pivots!$A$6</c:f>
              <c:strCache>
                <c:ptCount val="1"/>
                <c:pt idx="0">
                  <c:v>Total Findings</c:v>
                </c:pt>
              </c:strCache>
            </c:strRef>
          </c:cat>
          <c:val>
            <c:numRef>
              <c:f>Pivots!$B$6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4C7-E71F-4138-A069-36C58ED4573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rgbClr val="BFBFBF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[report_dashboard_template.xlsx]Pivots!PivotTable5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Categories by findings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</c:pivotFmt>
      <c:pivotFmt>
        <c:idx val="74"/>
      </c:pivotFmt>
      <c:pivotFmt>
        <c:idx val="75"/>
      </c:pivotFmt>
      <c:pivotFmt>
        <c:idx val="76"/>
      </c:pivotFmt>
      <c:pivotFmt>
        <c:idx val="77"/>
      </c:pivotFmt>
      <c:pivotFmt>
        <c:idx val="78"/>
      </c:pivotFmt>
      <c:pivotFmt>
        <c:idx val="79"/>
      </c:pivotFmt>
      <c:pivotFmt>
        <c:idx val="80"/>
      </c:pivotFmt>
      <c:pivotFmt>
        <c:idx val="81"/>
      </c:pivotFmt>
      <c:pivotFmt>
        <c:idx val="82"/>
      </c:pivotFmt>
      <c:pivotFmt>
        <c:idx val="83"/>
      </c:pivotFmt>
      <c:pivotFmt>
        <c:idx val="84"/>
      </c:pivotFmt>
      <c:pivotFmt>
        <c:idx val="85"/>
      </c:pivotFmt>
      <c:pivotFmt>
        <c:idx val="86"/>
      </c:pivotFmt>
      <c:pivotFmt>
        <c:idx val="87"/>
      </c:pivotFmt>
      <c:pivotFmt>
        <c:idx val="88"/>
      </c:pivotFmt>
      <c:pivotFmt>
        <c:idx val="89"/>
      </c:pivotFmt>
      <c:pivotFmt>
        <c:idx val="90"/>
      </c:pivotFmt>
      <c:pivotFmt>
        <c:idx val="91"/>
      </c:pivotFmt>
      <c:pivotFmt>
        <c:idx val="92"/>
      </c:pivotFmt>
      <c:pivotFmt>
        <c:idx val="93"/>
      </c:pivotFmt>
      <c:pivotFmt>
        <c:idx val="94"/>
      </c:pivotFmt>
      <c:pivotFmt>
        <c:idx val="95"/>
      </c:pivotFmt>
      <c:pivotFmt>
        <c:idx val="96"/>
      </c:pivotFmt>
      <c:pivotFmt>
        <c:idx val="97"/>
      </c:pivotFmt>
      <c:pivotFmt>
        <c:idx val="98"/>
      </c:pivotFmt>
      <c:pivotFmt>
        <c:idx val="99"/>
      </c:pivotFmt>
      <c:pivotFmt>
        <c:idx val="100"/>
      </c:pivotFmt>
      <c:pivotFmt>
        <c:idx val="101"/>
      </c:pivotFmt>
      <c:pivotFmt>
        <c:idx val="102"/>
      </c:pivotFmt>
      <c:pivotFmt>
        <c:idx val="103"/>
      </c:pivotFmt>
      <c:pivotFmt>
        <c:idx val="104"/>
      </c:pivotFmt>
      <c:pivotFmt>
        <c:idx val="105"/>
      </c:pivotFmt>
      <c:pivotFmt>
        <c:idx val="106"/>
      </c:pivotFmt>
      <c:pivotFmt>
        <c:idx val="107"/>
      </c:pivotFmt>
      <c:pivotFmt>
        <c:idx val="108"/>
      </c:pivotFmt>
      <c:pivotFmt>
        <c:idx val="109"/>
      </c:pivotFmt>
      <c:pivotFmt>
        <c:idx val="110"/>
      </c:pivotFmt>
      <c:pivotFmt>
        <c:idx val="111"/>
      </c:pivotFmt>
      <c:pivotFmt>
        <c:idx val="112"/>
      </c:pivotFmt>
      <c:pivotFmt>
        <c:idx val="113"/>
      </c:pivotFmt>
      <c:pivotFmt>
        <c:idx val="114"/>
      </c:pivotFmt>
      <c:pivotFmt>
        <c:idx val="115"/>
      </c:pivotFmt>
      <c:pivotFmt>
        <c:idx val="116"/>
      </c:pivotFmt>
      <c:pivotFmt>
        <c:idx val="117"/>
      </c:pivotFmt>
      <c:pivotFmt>
        <c:idx val="118"/>
      </c:pivotFmt>
      <c:pivotFmt>
        <c:idx val="119"/>
      </c:pivotFmt>
      <c:pivotFmt>
        <c:idx val="120"/>
      </c:pivotFmt>
      <c:pivotFmt>
        <c:idx val="121"/>
      </c:pivotFmt>
      <c:pivotFmt>
        <c:idx val="122"/>
      </c:pivotFmt>
      <c:pivotFmt>
        <c:idx val="123"/>
      </c:pivotFmt>
      <c:pivotFmt>
        <c:idx val="124"/>
      </c:pivotFmt>
      <c:pivotFmt>
        <c:idx val="125"/>
      </c:pivotFmt>
      <c:pivotFmt>
        <c:idx val="126"/>
      </c:pivotFmt>
      <c:pivotFmt>
        <c:idx val="127"/>
      </c:pivotFmt>
      <c:pivotFmt>
        <c:idx val="128"/>
      </c:pivotFmt>
      <c:pivotFmt>
        <c:idx val="129"/>
      </c:pivotFmt>
      <c:pivotFmt>
        <c:idx val="130"/>
      </c:pivotFmt>
      <c:pivotFmt>
        <c:idx val="131"/>
      </c:pivotFmt>
      <c:pivotFmt>
        <c:idx val="132"/>
      </c:pivotFmt>
      <c:pivotFmt>
        <c:idx val="133"/>
      </c:pivotFmt>
      <c:pivotFmt>
        <c:idx val="134"/>
      </c:pivotFmt>
      <c:pivotFmt>
        <c:idx val="135"/>
      </c:pivotFmt>
      <c:pivotFmt>
        <c:idx val="136"/>
      </c:pivotFmt>
      <c:pivotFmt>
        <c:idx val="137"/>
      </c:pivotFmt>
      <c:pivotFmt>
        <c:idx val="138"/>
      </c:pivotFmt>
      <c:pivotFmt>
        <c:idx val="139"/>
      </c:pivotFmt>
      <c:pivotFmt>
        <c:idx val="140"/>
      </c:pivotFmt>
      <c:pivotFmt>
        <c:idx val="141"/>
      </c:pivotFmt>
      <c:pivotFmt>
        <c:idx val="142"/>
      </c:pivotFmt>
      <c:pivotFmt>
        <c:idx val="143"/>
      </c:pivotFmt>
      <c:pivotFmt>
        <c:idx val="144"/>
      </c:pivotFmt>
      <c:pivotFmt>
        <c:idx val="145"/>
      </c:pivotFmt>
      <c:pivotFmt>
        <c:idx val="146"/>
      </c:pivotFmt>
      <c:pivotFmt>
        <c:idx val="147"/>
      </c:pivotFmt>
      <c:pivotFmt>
        <c:idx val="148"/>
      </c:pivotFmt>
      <c:pivotFmt>
        <c:idx val="149"/>
      </c:pivotFmt>
      <c:pivotFmt>
        <c:idx val="150"/>
      </c:pivotFmt>
      <c:pivotFmt>
        <c:idx val="151"/>
      </c:pivotFmt>
      <c:pivotFmt>
        <c:idx val="152"/>
      </c:pivotFmt>
      <c:pivotFmt>
        <c:idx val="153"/>
      </c:pivotFmt>
      <c:pivotFmt>
        <c:idx val="154"/>
      </c:pivotFmt>
      <c:pivotFmt>
        <c:idx val="155"/>
      </c:pivotFmt>
      <c:pivotFmt>
        <c:idx val="156"/>
      </c:pivotFmt>
      <c:pivotFmt>
        <c:idx val="157"/>
      </c:pivotFmt>
      <c:pivotFmt>
        <c:idx val="158"/>
      </c:pivotFmt>
      <c:pivotFmt>
        <c:idx val="159"/>
      </c:pivotFmt>
      <c:pivotFmt>
        <c:idx val="160"/>
      </c:pivotFmt>
      <c:pivotFmt>
        <c:idx val="161"/>
      </c:pivotFmt>
      <c:pivotFmt>
        <c:idx val="162"/>
      </c:pivotFmt>
      <c:pivotFmt>
        <c:idx val="163"/>
      </c:pivotFmt>
      <c:pivotFmt>
        <c:idx val="164"/>
      </c:pivotFmt>
      <c:pivotFmt>
        <c:idx val="165"/>
      </c:pivotFmt>
      <c:pivotFmt>
        <c:idx val="166"/>
      </c:pivotFmt>
      <c:pivotFmt>
        <c:idx val="167"/>
      </c:pivotFmt>
      <c:pivotFmt>
        <c:idx val="168"/>
      </c:pivotFmt>
      <c:pivotFmt>
        <c:idx val="169"/>
      </c:pivotFmt>
      <c:pivotFmt>
        <c:idx val="170"/>
      </c:pivotFmt>
      <c:pivotFmt>
        <c:idx val="171"/>
      </c:pivotFmt>
      <c:pivotFmt>
        <c:idx val="172"/>
      </c:pivotFmt>
      <c:pivotFmt>
        <c:idx val="173"/>
      </c:pivotFmt>
      <c:pivotFmt>
        <c:idx val="174"/>
      </c:pivotFmt>
      <c:pivotFmt>
        <c:idx val="175"/>
      </c:pivotFmt>
      <c:pivotFmt>
        <c:idx val="176"/>
      </c:pivotFmt>
      <c:pivotFmt>
        <c:idx val="177"/>
      </c:pivotFmt>
      <c:pivotFmt>
        <c:idx val="178"/>
      </c:pivotFmt>
      <c:pivotFmt>
        <c:idx val="179"/>
      </c:pivotFmt>
      <c:pivotFmt>
        <c:idx val="180"/>
      </c:pivotFmt>
      <c:pivotFmt>
        <c:idx val="181"/>
      </c:pivotFmt>
      <c:pivotFmt>
        <c:idx val="182"/>
      </c:pivotFmt>
      <c:pivotFmt>
        <c:idx val="183"/>
      </c:pivotFmt>
      <c:pivotFmt>
        <c:idx val="184"/>
      </c:pivotFmt>
      <c:pivotFmt>
        <c:idx val="185"/>
      </c:pivotFmt>
      <c:pivotFmt>
        <c:idx val="186"/>
      </c:pivotFmt>
      <c:pivotFmt>
        <c:idx val="187"/>
      </c:pivotFmt>
      <c:pivotFmt>
        <c:idx val="188"/>
      </c:pivotFmt>
      <c:pivotFmt>
        <c:idx val="189"/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</c:pivotFmt>
      <c:pivotFmt>
        <c:idx val="205"/>
      </c:pivotFmt>
      <c:pivotFmt>
        <c:idx val="206"/>
      </c:pivotFmt>
      <c:pivotFmt>
        <c:idx val="207"/>
      </c:pivotFmt>
      <c:pivotFmt>
        <c:idx val="208"/>
      </c:pivotFmt>
      <c:pivotFmt>
        <c:idx val="209"/>
      </c:pivotFmt>
      <c:pivotFmt>
        <c:idx val="210"/>
      </c:pivotFmt>
      <c:pivotFmt>
        <c:idx val="211"/>
      </c:pivotFmt>
      <c:pivotFmt>
        <c:idx val="212"/>
      </c:pivotFmt>
      <c:pivotFmt>
        <c:idx val="213"/>
      </c:pivotFmt>
      <c:pivotFmt>
        <c:idx val="214"/>
      </c:pivotFmt>
      <c:pivotFmt>
        <c:idx val="215"/>
      </c:pivotFmt>
      <c:pivotFmt>
        <c:idx val="216"/>
      </c:pivotFmt>
      <c:pivotFmt>
        <c:idx val="217"/>
      </c:pivotFmt>
      <c:pivotFmt>
        <c:idx val="218"/>
      </c:pivotFmt>
      <c:pivotFmt>
        <c:idx val="219"/>
      </c:pivotFmt>
      <c:pivotFmt>
        <c:idx val="220"/>
      </c:pivotFmt>
      <c:pivotFmt>
        <c:idx val="221"/>
      </c:pivotFmt>
      <c:pivotFmt>
        <c:idx val="222"/>
      </c:pivotFmt>
      <c:pivotFmt>
        <c:idx val="223"/>
      </c:pivotFmt>
      <c:pivotFmt>
        <c:idx val="224"/>
      </c:pivotFmt>
      <c:pivotFmt>
        <c:idx val="225"/>
      </c:pivotFmt>
      <c:pivotFmt>
        <c:idx val="226"/>
      </c:pivotFmt>
      <c:pivotFmt>
        <c:idx val="227"/>
      </c:pivotFmt>
      <c:pivotFmt>
        <c:idx val="228"/>
      </c:pivotFmt>
      <c:pivotFmt>
        <c:idx val="229"/>
      </c:pivotFmt>
      <c:pivotFmt>
        <c:idx val="230"/>
      </c:pivotFmt>
      <c:pivotFmt>
        <c:idx val="231"/>
      </c:pivotFmt>
      <c:pivotFmt>
        <c:idx val="232"/>
      </c:pivotFmt>
      <c:pivotFmt>
        <c:idx val="233"/>
      </c:pivotFmt>
      <c:pivotFmt>
        <c:idx val="234"/>
      </c:pivotFmt>
      <c:pivotFmt>
        <c:idx val="235"/>
      </c:pivotFmt>
      <c:pivotFmt>
        <c:idx val="236"/>
      </c:pivotFmt>
      <c:pivotFmt>
        <c:idx val="237"/>
      </c:pivotFmt>
      <c:pivotFmt>
        <c:idx val="238"/>
      </c:pivotFmt>
      <c:pivotFmt>
        <c:idx val="239"/>
      </c:pivotFmt>
      <c:pivotFmt>
        <c:idx val="240"/>
      </c:pivotFmt>
      <c:pivotFmt>
        <c:idx val="241"/>
      </c:pivotFmt>
      <c:pivotFmt>
        <c:idx val="242"/>
      </c:pivotFmt>
      <c:pivotFmt>
        <c:idx val="243"/>
      </c:pivotFmt>
      <c:pivotFmt>
        <c:idx val="244"/>
      </c:pivotFmt>
      <c:pivotFmt>
        <c:idx val="245"/>
      </c:pivotFmt>
      <c:pivotFmt>
        <c:idx val="246"/>
      </c:pivotFmt>
      <c:pivotFmt>
        <c:idx val="247"/>
      </c:pivotFmt>
      <c:pivotFmt>
        <c:idx val="248"/>
      </c:pivotFmt>
      <c:pivotFmt>
        <c:idx val="249"/>
      </c:pivotFmt>
      <c:pivotFmt>
        <c:idx val="250"/>
      </c:pivotFmt>
      <c:pivotFmt>
        <c:idx val="251"/>
      </c:pivotFmt>
      <c:pivotFmt>
        <c:idx val="252"/>
      </c:pivotFmt>
      <c:pivotFmt>
        <c:idx val="253"/>
      </c:pivotFmt>
      <c:pivotFmt>
        <c:idx val="254"/>
      </c:pivotFmt>
      <c:pivotFmt>
        <c:idx val="255"/>
      </c:pivotFmt>
      <c:pivotFmt>
        <c:idx val="256"/>
      </c:pivotFmt>
      <c:pivotFmt>
        <c:idx val="257"/>
      </c:pivotFmt>
      <c:pivotFmt>
        <c:idx val="258"/>
      </c:pivotFmt>
      <c:pivotFmt>
        <c:idx val="259"/>
      </c:pivotFmt>
      <c:pivotFmt>
        <c:idx val="260"/>
      </c:pivotFmt>
      <c:pivotFmt>
        <c:idx val="261"/>
      </c:pivotFmt>
      <c:pivotFmt>
        <c:idx val="262"/>
      </c:pivotFmt>
      <c:pivotFmt>
        <c:idx val="263"/>
      </c:pivotFmt>
      <c:pivotFmt>
        <c:idx val="264"/>
      </c:pivotFmt>
      <c:pivotFmt>
        <c:idx val="265"/>
      </c:pivotFmt>
      <c:pivotFmt>
        <c:idx val="266"/>
      </c:pivotFmt>
      <c:pivotFmt>
        <c:idx val="267"/>
      </c:pivotFmt>
      <c:pivotFmt>
        <c:idx val="268"/>
      </c:pivotFmt>
      <c:pivotFmt>
        <c:idx val="269"/>
      </c:pivotFmt>
      <c:pivotFmt>
        <c:idx val="270"/>
      </c:pivotFmt>
      <c:pivotFmt>
        <c:idx val="271"/>
      </c:pivotFmt>
      <c:pivotFmt>
        <c:idx val="272"/>
      </c:pivotFmt>
      <c:pivotFmt>
        <c:idx val="273"/>
      </c:pivotFmt>
      <c:pivotFmt>
        <c:idx val="274"/>
      </c:pivotFmt>
      <c:pivotFmt>
        <c:idx val="275"/>
      </c:pivotFmt>
      <c:pivotFmt>
        <c:idx val="276"/>
      </c:pivotFmt>
      <c:pivotFmt>
        <c:idx val="277"/>
      </c:pivotFmt>
      <c:pivotFmt>
        <c:idx val="278"/>
      </c:pivotFmt>
      <c:pivotFmt>
        <c:idx val="279"/>
      </c:pivotFmt>
      <c:pivotFmt>
        <c:idx val="280"/>
      </c:pivotFmt>
      <c:pivotFmt>
        <c:idx val="281"/>
      </c:pivotFmt>
      <c:pivotFmt>
        <c:idx val="282"/>
      </c:pivotFmt>
      <c:pivotFmt>
        <c:idx val="283"/>
      </c:pivotFmt>
      <c:pivotFmt>
        <c:idx val="284"/>
      </c:pivotFmt>
      <c:pivotFmt>
        <c:idx val="285"/>
      </c:pivotFmt>
      <c:pivotFmt>
        <c:idx val="286"/>
      </c:pivotFmt>
      <c:pivotFmt>
        <c:idx val="287"/>
      </c:pivotFmt>
      <c:pivotFmt>
        <c:idx val="288"/>
      </c:pivotFmt>
      <c:pivotFmt>
        <c:idx val="289"/>
      </c:pivotFmt>
      <c:pivotFmt>
        <c:idx val="290"/>
      </c:pivotFmt>
      <c:pivotFmt>
        <c:idx val="291"/>
      </c:pivotFmt>
      <c:pivotFmt>
        <c:idx val="292"/>
      </c:pivotFmt>
      <c:pivotFmt>
        <c:idx val="293"/>
      </c:pivotFmt>
      <c:pivotFmt>
        <c:idx val="294"/>
      </c:pivotFmt>
      <c:pivotFmt>
        <c:idx val="295"/>
      </c:pivotFmt>
      <c:pivotFmt>
        <c:idx val="296"/>
      </c:pivotFmt>
      <c:pivotFmt>
        <c:idx val="297"/>
      </c:pivotFmt>
      <c:pivotFmt>
        <c:idx val="298"/>
      </c:pivotFmt>
      <c:pivotFmt>
        <c:idx val="299"/>
      </c:pivotFmt>
      <c:pivotFmt>
        <c:idx val="300"/>
      </c:pivotFmt>
      <c:pivotFmt>
        <c:idx val="301"/>
      </c:pivotFmt>
      <c:pivotFmt>
        <c:idx val="302"/>
      </c:pivotFmt>
      <c:pivotFmt>
        <c:idx val="303"/>
      </c:pivotFmt>
      <c:pivotFmt>
        <c:idx val="304"/>
      </c:pivotFmt>
      <c:pivotFmt>
        <c:idx val="305"/>
      </c:pivotFmt>
      <c:pivotFmt>
        <c:idx val="306"/>
      </c:pivotFmt>
      <c:pivotFmt>
        <c:idx val="307"/>
      </c:pivotFmt>
      <c:pivotFmt>
        <c:idx val="308"/>
      </c:pivotFmt>
      <c:pivotFmt>
        <c:idx val="309"/>
      </c:pivotFmt>
      <c:pivotFmt>
        <c:idx val="310"/>
      </c:pivotFmt>
      <c:pivotFmt>
        <c:idx val="311"/>
      </c:pivotFmt>
      <c:pivotFmt>
        <c:idx val="312"/>
      </c:pivotFmt>
      <c:pivotFmt>
        <c:idx val="313"/>
      </c:pivotFmt>
      <c:pivotFmt>
        <c:idx val="314"/>
      </c:pivotFmt>
      <c:pivotFmt>
        <c:idx val="315"/>
      </c:pivotFmt>
      <c:pivotFmt>
        <c:idx val="316"/>
      </c:pivotFmt>
      <c:pivotFmt>
        <c:idx val="317"/>
      </c:pivotFmt>
      <c:pivotFmt>
        <c:idx val="318"/>
      </c:pivotFmt>
      <c:pivotFmt>
        <c:idx val="319"/>
      </c:pivotFmt>
      <c:pivotFmt>
        <c:idx val="320"/>
      </c:pivotFmt>
      <c:pivotFmt>
        <c:idx val="321"/>
      </c:pivotFmt>
      <c:pivotFmt>
        <c:idx val="322"/>
      </c:pivotFmt>
      <c:pivotFmt>
        <c:idx val="323"/>
      </c:pivotFmt>
      <c:pivotFmt>
        <c:idx val="324"/>
      </c:pivotFmt>
      <c:pivotFmt>
        <c:idx val="325"/>
      </c:pivotFmt>
      <c:pivotFmt>
        <c:idx val="326"/>
      </c:pivotFmt>
      <c:pivotFmt>
        <c:idx val="327"/>
      </c:pivotFmt>
      <c:pivotFmt>
        <c:idx val="328"/>
      </c:pivotFmt>
      <c:pivotFmt>
        <c:idx val="329"/>
      </c:pivotFmt>
      <c:pivotFmt>
        <c:idx val="330"/>
      </c:pivotFmt>
      <c:pivotFmt>
        <c:idx val="331"/>
      </c:pivotFmt>
      <c:pivotFmt>
        <c:idx val="332"/>
      </c:pivotFmt>
      <c:pivotFmt>
        <c:idx val="333"/>
      </c:pivotFmt>
      <c:pivotFmt>
        <c:idx val="334"/>
      </c:pivotFmt>
      <c:pivotFmt>
        <c:idx val="335"/>
      </c:pivotFmt>
      <c:pivotFmt>
        <c:idx val="336"/>
      </c:pivotFmt>
      <c:pivotFmt>
        <c:idx val="337"/>
      </c:pivotFmt>
      <c:pivotFmt>
        <c:idx val="338"/>
      </c:pivotFmt>
      <c:pivotFmt>
        <c:idx val="339"/>
      </c:pivotFmt>
      <c:pivotFmt>
        <c:idx val="340"/>
      </c:pivotFmt>
      <c:pivotFmt>
        <c:idx val="341"/>
      </c:pivotFmt>
      <c:pivotFmt>
        <c:idx val="342"/>
      </c:pivotFmt>
      <c:pivotFmt>
        <c:idx val="343"/>
      </c:pivotFmt>
      <c:pivotFmt>
        <c:idx val="344"/>
      </c:pivotFmt>
      <c:pivotFmt>
        <c:idx val="345"/>
      </c:pivotFmt>
      <c:pivotFmt>
        <c:idx val="346"/>
      </c:pivotFmt>
      <c:pivotFmt>
        <c:idx val="347"/>
      </c:pivotFmt>
      <c:pivotFmt>
        <c:idx val="348"/>
      </c:pivotFmt>
      <c:pivotFmt>
        <c:idx val="349"/>
      </c:pivotFmt>
      <c:pivotFmt>
        <c:idx val="350"/>
      </c:pivotFmt>
      <c:pivotFmt>
        <c:idx val="351"/>
      </c:pivotFmt>
      <c:pivotFmt>
        <c:idx val="352"/>
      </c:pivotFmt>
      <c:pivotFmt>
        <c:idx val="353"/>
      </c:pivotFmt>
      <c:pivotFmt>
        <c:idx val="354"/>
      </c:pivotFmt>
      <c:pivotFmt>
        <c:idx val="355"/>
      </c:pivotFmt>
      <c:pivotFmt>
        <c:idx val="356"/>
      </c:pivotFmt>
      <c:pivotFmt>
        <c:idx val="357"/>
      </c:pivotFmt>
      <c:pivotFmt>
        <c:idx val="358"/>
      </c:pivotFmt>
      <c:pivotFmt>
        <c:idx val="359"/>
      </c:pivotFmt>
      <c:pivotFmt>
        <c:idx val="360"/>
      </c:pivotFmt>
      <c:pivotFmt>
        <c:idx val="361"/>
      </c:pivotFmt>
      <c:pivotFmt>
        <c:idx val="362"/>
      </c:pivotFmt>
      <c:pivotFmt>
        <c:idx val="363"/>
      </c:pivotFmt>
      <c:pivotFmt>
        <c:idx val="364"/>
      </c:pivotFmt>
      <c:pivotFmt>
        <c:idx val="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88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89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9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9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0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401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40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403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"/>
      </c:pivotFmt>
      <c:pivotFmt>
        <c:idx val="405"/>
      </c:pivotFmt>
      <c:pivotFmt>
        <c:idx val="406"/>
      </c:pivotFmt>
      <c:pivotFmt>
        <c:idx val="407"/>
      </c:pivotFmt>
      <c:pivotFmt>
        <c:idx val="408"/>
      </c:pivotFmt>
      <c:pivotFmt>
        <c:idx val="40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Pivots!$H$4:$H$5</c:f>
              <c:strCache>
                <c:ptCount val="1"/>
                <c:pt idx="0">
                  <c:v>Total Findings</c:v>
                </c:pt>
              </c:strCache>
            </c:strRef>
          </c:tx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C8-A151-4B2A-9A36-0E67ED8B732F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CA-A151-4B2A-9A36-0E67ED8B732F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CC-A151-4B2A-9A36-0E67ED8B732F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CE-A151-4B2A-9A36-0E67ED8B732F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D0-A151-4B2A-9A36-0E67ED8B732F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D1-A151-4B2A-9A36-0E67ED8B732F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D2-A151-4B2A-9A36-0E67ED8B732F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D3-A151-4B2A-9A36-0E67ED8B732F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D4-A151-4B2A-9A36-0E67ED8B732F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D5-A151-4B2A-9A36-0E67ED8B732F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D6-A151-4B2A-9A36-0E67ED8B732F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D7-A151-4B2A-9A36-0E67ED8B732F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D8-A151-4B2A-9A36-0E67ED8B732F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D9-A151-4B2A-9A36-0E67ED8B732F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DA-A151-4B2A-9A36-0E67ED8B732F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DB-A151-4B2A-9A36-0E67ED8B732F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DC-A151-4B2A-9A36-0E67ED8B732F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DD-A151-4B2A-9A36-0E67ED8B732F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DE-A151-4B2A-9A36-0E67ED8B732F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0DF-A151-4B2A-9A36-0E67ED8B732F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0E0-A151-4B2A-9A36-0E67ED8B732F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E1-A151-4B2A-9A36-0E67ED8B732F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E2-A151-4B2A-9A36-0E67ED8B732F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E3-A151-4B2A-9A36-0E67ED8B732F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E4-A151-4B2A-9A36-0E67ED8B732F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E5-A151-4B2A-9A36-0E67ED8B732F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0E6-A151-4B2A-9A36-0E67ED8B732F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0E7-A151-4B2A-9A36-0E67ED8B732F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0E8-A151-4B2A-9A36-0E67ED8B732F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0E9-A151-4B2A-9A36-0E67ED8B732F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0EA-A151-4B2A-9A36-0E67ED8B732F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0EB-A151-4B2A-9A36-0E67ED8B732F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0EC-A151-4B2A-9A36-0E67ED8B732F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0ED-A151-4B2A-9A36-0E67ED8B732F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0EE-A151-4B2A-9A36-0E67ED8B732F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0EF-A151-4B2A-9A36-0E67ED8B732F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0F0-A151-4B2A-9A36-0E67ED8B732F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0F1-A151-4B2A-9A36-0E67ED8B732F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0F2-A151-4B2A-9A36-0E67ED8B732F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0F3-A151-4B2A-9A36-0E67ED8B732F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0F4-A151-4B2A-9A36-0E67ED8B732F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0F5-A151-4B2A-9A36-0E67ED8B732F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0F6-A151-4B2A-9A36-0E67ED8B732F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0F7-A151-4B2A-9A36-0E67ED8B732F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0F8-A151-4B2A-9A36-0E67ED8B732F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0F9-A151-4B2A-9A36-0E67ED8B732F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0FA-A151-4B2A-9A36-0E67ED8B732F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0FB-A151-4B2A-9A36-0E67ED8B732F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0FC-A151-4B2A-9A36-0E67ED8B732F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0FD-A151-4B2A-9A36-0E67ED8B732F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0FE-A151-4B2A-9A36-0E67ED8B732F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0FF-A151-4B2A-9A36-0E67ED8B732F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100-A151-4B2A-9A36-0E67ED8B732F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101-A151-4B2A-9A36-0E67ED8B732F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102-A151-4B2A-9A36-0E67ED8B732F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103-A151-4B2A-9A36-0E67ED8B732F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104-A151-4B2A-9A36-0E67ED8B732F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105-A151-4B2A-9A36-0E67ED8B732F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106-A151-4B2A-9A36-0E67ED8B732F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107-A151-4B2A-9A36-0E67ED8B732F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108-A151-4B2A-9A36-0E67ED8B732F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109-A151-4B2A-9A36-0E67ED8B732F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10A-A151-4B2A-9A36-0E67ED8B732F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10B-A151-4B2A-9A36-0E67ED8B732F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10C-A151-4B2A-9A36-0E67ED8B732F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10D-A151-4B2A-9A36-0E67ED8B732F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10E-A151-4B2A-9A36-0E67ED8B732F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10F-A151-4B2A-9A36-0E67ED8B732F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110-A151-4B2A-9A36-0E67ED8B732F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111-A151-4B2A-9A36-0E67ED8B732F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112-A151-4B2A-9A36-0E67ED8B732F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113-A151-4B2A-9A36-0E67ED8B732F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114-A151-4B2A-9A36-0E67ED8B732F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115-A151-4B2A-9A36-0E67ED8B732F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116-A151-4B2A-9A36-0E67ED8B732F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117-A151-4B2A-9A36-0E67ED8B732F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118-A151-4B2A-9A36-0E67ED8B732F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119-A151-4B2A-9A36-0E67ED8B732F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11A-A151-4B2A-9A36-0E67ED8B732F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11B-A151-4B2A-9A36-0E67ED8B732F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11C-A151-4B2A-9A36-0E67ED8B732F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11D-A151-4B2A-9A36-0E67ED8B732F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11E-A151-4B2A-9A36-0E67ED8B732F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11F-A151-4B2A-9A36-0E67ED8B732F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120-A151-4B2A-9A36-0E67ED8B732F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121-A151-4B2A-9A36-0E67ED8B732F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122-A151-4B2A-9A36-0E67ED8B732F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123-A151-4B2A-9A36-0E67ED8B732F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124-A151-4B2A-9A36-0E67ED8B732F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125-A151-4B2A-9A36-0E67ED8B732F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126-A151-4B2A-9A36-0E67ED8B732F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127-A151-4B2A-9A36-0E67ED8B732F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128-A151-4B2A-9A36-0E67ED8B732F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129-A151-4B2A-9A36-0E67ED8B732F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12A-A151-4B2A-9A36-0E67ED8B732F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12B-A151-4B2A-9A36-0E67ED8B732F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12C-A151-4B2A-9A36-0E67ED8B732F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12D-A151-4B2A-9A36-0E67ED8B732F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12E-A151-4B2A-9A36-0E67ED8B732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Pivots!$G$6</c:f>
              <c:strCache>
                <c:ptCount val="1"/>
                <c:pt idx="0">
                  <c:v>Total Findings</c:v>
                </c:pt>
              </c:strCache>
            </c:strRef>
          </c:cat>
          <c:val>
            <c:numRef>
              <c:f>Pivots!$H$6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2F-A151-4B2A-9A36-0E67ED8B732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rgbClr val="BFBFBF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[report_dashboard_template.xlsx]Pivots!PivotTable7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Rules by findings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</c:pivotFmt>
      <c:pivotFmt>
        <c:idx val="74"/>
      </c:pivotFmt>
      <c:pivotFmt>
        <c:idx val="75"/>
      </c:pivotFmt>
      <c:pivotFmt>
        <c:idx val="76"/>
      </c:pivotFmt>
      <c:pivotFmt>
        <c:idx val="77"/>
      </c:pivotFmt>
      <c:pivotFmt>
        <c:idx val="78"/>
      </c:pivotFmt>
      <c:pivotFmt>
        <c:idx val="79"/>
      </c:pivotFmt>
      <c:pivotFmt>
        <c:idx val="80"/>
      </c:pivotFmt>
      <c:pivotFmt>
        <c:idx val="81"/>
      </c:pivotFmt>
      <c:pivotFmt>
        <c:idx val="82"/>
      </c:pivotFmt>
      <c:pivotFmt>
        <c:idx val="83"/>
      </c:pivotFmt>
      <c:pivotFmt>
        <c:idx val="84"/>
      </c:pivotFmt>
      <c:pivotFmt>
        <c:idx val="85"/>
      </c:pivotFmt>
      <c:pivotFmt>
        <c:idx val="86"/>
      </c:pivotFmt>
      <c:pivotFmt>
        <c:idx val="87"/>
      </c:pivotFmt>
      <c:pivotFmt>
        <c:idx val="88"/>
      </c:pivotFmt>
      <c:pivotFmt>
        <c:idx val="89"/>
      </c:pivotFmt>
      <c:pivotFmt>
        <c:idx val="90"/>
      </c:pivotFmt>
      <c:pivotFmt>
        <c:idx val="91"/>
      </c:pivotFmt>
      <c:pivotFmt>
        <c:idx val="92"/>
      </c:pivotFmt>
      <c:pivotFmt>
        <c:idx val="93"/>
      </c:pivotFmt>
      <c:pivotFmt>
        <c:idx val="94"/>
      </c:pivotFmt>
      <c:pivotFmt>
        <c:idx val="95"/>
      </c:pivotFmt>
      <c:pivotFmt>
        <c:idx val="96"/>
      </c:pivotFmt>
      <c:pivotFmt>
        <c:idx val="97"/>
      </c:pivotFmt>
      <c:pivotFmt>
        <c:idx val="98"/>
      </c:pivotFmt>
      <c:pivotFmt>
        <c:idx val="99"/>
      </c:pivotFmt>
      <c:pivotFmt>
        <c:idx val="100"/>
      </c:pivotFmt>
      <c:pivotFmt>
        <c:idx val="101"/>
      </c:pivotFmt>
      <c:pivotFmt>
        <c:idx val="102"/>
      </c:pivotFmt>
      <c:pivotFmt>
        <c:idx val="103"/>
      </c:pivotFmt>
      <c:pivotFmt>
        <c:idx val="104"/>
      </c:pivotFmt>
      <c:pivotFmt>
        <c:idx val="105"/>
      </c:pivotFmt>
      <c:pivotFmt>
        <c:idx val="106"/>
      </c:pivotFmt>
      <c:pivotFmt>
        <c:idx val="107"/>
      </c:pivotFmt>
      <c:pivotFmt>
        <c:idx val="108"/>
      </c:pivotFmt>
      <c:pivotFmt>
        <c:idx val="109"/>
      </c:pivotFmt>
      <c:pivotFmt>
        <c:idx val="110"/>
      </c:pivotFmt>
      <c:pivotFmt>
        <c:idx val="111"/>
      </c:pivotFmt>
      <c:pivotFmt>
        <c:idx val="112"/>
      </c:pivotFmt>
      <c:pivotFmt>
        <c:idx val="113"/>
      </c:pivotFmt>
      <c:pivotFmt>
        <c:idx val="114"/>
      </c:pivotFmt>
      <c:pivotFmt>
        <c:idx val="115"/>
      </c:pivotFmt>
      <c:pivotFmt>
        <c:idx val="116"/>
      </c:pivotFmt>
      <c:pivotFmt>
        <c:idx val="117"/>
      </c:pivotFmt>
      <c:pivotFmt>
        <c:idx val="118"/>
      </c:pivotFmt>
      <c:pivotFmt>
        <c:idx val="119"/>
      </c:pivotFmt>
      <c:pivotFmt>
        <c:idx val="120"/>
      </c:pivotFmt>
      <c:pivotFmt>
        <c:idx val="121"/>
      </c:pivotFmt>
      <c:pivotFmt>
        <c:idx val="122"/>
      </c:pivotFmt>
      <c:pivotFmt>
        <c:idx val="123"/>
      </c:pivotFmt>
      <c:pivotFmt>
        <c:idx val="124"/>
      </c:pivotFmt>
      <c:pivotFmt>
        <c:idx val="125"/>
      </c:pivotFmt>
      <c:pivotFmt>
        <c:idx val="126"/>
      </c:pivotFmt>
      <c:pivotFmt>
        <c:idx val="127"/>
      </c:pivotFmt>
      <c:pivotFmt>
        <c:idx val="128"/>
      </c:pivotFmt>
      <c:pivotFmt>
        <c:idx val="129"/>
      </c:pivotFmt>
      <c:pivotFmt>
        <c:idx val="130"/>
      </c:pivotFmt>
      <c:pivotFmt>
        <c:idx val="131"/>
      </c:pivotFmt>
      <c:pivotFmt>
        <c:idx val="132"/>
      </c:pivotFmt>
      <c:pivotFmt>
        <c:idx val="133"/>
      </c:pivotFmt>
      <c:pivotFmt>
        <c:idx val="134"/>
      </c:pivotFmt>
      <c:pivotFmt>
        <c:idx val="135"/>
      </c:pivotFmt>
      <c:pivotFmt>
        <c:idx val="136"/>
      </c:pivotFmt>
      <c:pivotFmt>
        <c:idx val="137"/>
      </c:pivotFmt>
      <c:pivotFmt>
        <c:idx val="138"/>
      </c:pivotFmt>
      <c:pivotFmt>
        <c:idx val="139"/>
      </c:pivotFmt>
      <c:pivotFmt>
        <c:idx val="140"/>
      </c:pivotFmt>
      <c:pivotFmt>
        <c:idx val="141"/>
      </c:pivotFmt>
      <c:pivotFmt>
        <c:idx val="142"/>
      </c:pivotFmt>
      <c:pivotFmt>
        <c:idx val="143"/>
      </c:pivotFmt>
      <c:pivotFmt>
        <c:idx val="144"/>
      </c:pivotFmt>
      <c:pivotFmt>
        <c:idx val="145"/>
      </c:pivotFmt>
      <c:pivotFmt>
        <c:idx val="146"/>
      </c:pivotFmt>
      <c:pivotFmt>
        <c:idx val="147"/>
      </c:pivotFmt>
      <c:pivotFmt>
        <c:idx val="148"/>
      </c:pivotFmt>
      <c:pivotFmt>
        <c:idx val="149"/>
      </c:pivotFmt>
      <c:pivotFmt>
        <c:idx val="150"/>
      </c:pivotFmt>
      <c:pivotFmt>
        <c:idx val="151"/>
      </c:pivotFmt>
      <c:pivotFmt>
        <c:idx val="152"/>
      </c:pivotFmt>
      <c:pivotFmt>
        <c:idx val="153"/>
      </c:pivotFmt>
      <c:pivotFmt>
        <c:idx val="154"/>
      </c:pivotFmt>
      <c:pivotFmt>
        <c:idx val="155"/>
      </c:pivotFmt>
      <c:pivotFmt>
        <c:idx val="156"/>
      </c:pivotFmt>
      <c:pivotFmt>
        <c:idx val="157"/>
      </c:pivotFmt>
      <c:pivotFmt>
        <c:idx val="158"/>
      </c:pivotFmt>
      <c:pivotFmt>
        <c:idx val="159"/>
      </c:pivotFmt>
      <c:pivotFmt>
        <c:idx val="160"/>
      </c:pivotFmt>
      <c:pivotFmt>
        <c:idx val="161"/>
      </c:pivotFmt>
      <c:pivotFmt>
        <c:idx val="162"/>
      </c:pivotFmt>
      <c:pivotFmt>
        <c:idx val="163"/>
      </c:pivotFmt>
      <c:pivotFmt>
        <c:idx val="164"/>
      </c:pivotFmt>
      <c:pivotFmt>
        <c:idx val="165"/>
      </c:pivotFmt>
      <c:pivotFmt>
        <c:idx val="166"/>
      </c:pivotFmt>
      <c:pivotFmt>
        <c:idx val="167"/>
      </c:pivotFmt>
      <c:pivotFmt>
        <c:idx val="168"/>
      </c:pivotFmt>
      <c:pivotFmt>
        <c:idx val="169"/>
      </c:pivotFmt>
      <c:pivotFmt>
        <c:idx val="170"/>
      </c:pivotFmt>
      <c:pivotFmt>
        <c:idx val="171"/>
      </c:pivotFmt>
      <c:pivotFmt>
        <c:idx val="172"/>
      </c:pivotFmt>
      <c:pivotFmt>
        <c:idx val="173"/>
      </c:pivotFmt>
      <c:pivotFmt>
        <c:idx val="174"/>
      </c:pivotFmt>
      <c:pivotFmt>
        <c:idx val="175"/>
      </c:pivotFmt>
      <c:pivotFmt>
        <c:idx val="176"/>
      </c:pivotFmt>
      <c:pivotFmt>
        <c:idx val="177"/>
      </c:pivotFmt>
      <c:pivotFmt>
        <c:idx val="178"/>
      </c:pivotFmt>
      <c:pivotFmt>
        <c:idx val="179"/>
      </c:pivotFmt>
      <c:pivotFmt>
        <c:idx val="180"/>
      </c:pivotFmt>
      <c:pivotFmt>
        <c:idx val="181"/>
      </c:pivotFmt>
      <c:pivotFmt>
        <c:idx val="182"/>
      </c:pivotFmt>
      <c:pivotFmt>
        <c:idx val="183"/>
      </c:pivotFmt>
      <c:pivotFmt>
        <c:idx val="184"/>
      </c:pivotFmt>
      <c:pivotFmt>
        <c:idx val="185"/>
      </c:pivotFmt>
      <c:pivotFmt>
        <c:idx val="186"/>
      </c:pivotFmt>
      <c:pivotFmt>
        <c:idx val="187"/>
      </c:pivotFmt>
      <c:pivotFmt>
        <c:idx val="188"/>
      </c:pivotFmt>
      <c:pivotFmt>
        <c:idx val="189"/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</c:pivotFmt>
      <c:pivotFmt>
        <c:idx val="205"/>
      </c:pivotFmt>
      <c:pivotFmt>
        <c:idx val="206"/>
      </c:pivotFmt>
      <c:pivotFmt>
        <c:idx val="207"/>
      </c:pivotFmt>
      <c:pivotFmt>
        <c:idx val="208"/>
      </c:pivotFmt>
      <c:pivotFmt>
        <c:idx val="209"/>
      </c:pivotFmt>
      <c:pivotFmt>
        <c:idx val="210"/>
      </c:pivotFmt>
      <c:pivotFmt>
        <c:idx val="211"/>
      </c:pivotFmt>
      <c:pivotFmt>
        <c:idx val="212"/>
      </c:pivotFmt>
      <c:pivotFmt>
        <c:idx val="213"/>
      </c:pivotFmt>
      <c:pivotFmt>
        <c:idx val="214"/>
      </c:pivotFmt>
      <c:pivotFmt>
        <c:idx val="215"/>
      </c:pivotFmt>
      <c:pivotFmt>
        <c:idx val="216"/>
      </c:pivotFmt>
      <c:pivotFmt>
        <c:idx val="217"/>
      </c:pivotFmt>
      <c:pivotFmt>
        <c:idx val="218"/>
      </c:pivotFmt>
      <c:pivotFmt>
        <c:idx val="219"/>
      </c:pivotFmt>
      <c:pivotFmt>
        <c:idx val="220"/>
      </c:pivotFmt>
      <c:pivotFmt>
        <c:idx val="221"/>
      </c:pivotFmt>
      <c:pivotFmt>
        <c:idx val="222"/>
      </c:pivotFmt>
      <c:pivotFmt>
        <c:idx val="223"/>
      </c:pivotFmt>
      <c:pivotFmt>
        <c:idx val="224"/>
      </c:pivotFmt>
      <c:pivotFmt>
        <c:idx val="225"/>
      </c:pivotFmt>
      <c:pivotFmt>
        <c:idx val="226"/>
      </c:pivotFmt>
      <c:pivotFmt>
        <c:idx val="227"/>
      </c:pivotFmt>
      <c:pivotFmt>
        <c:idx val="228"/>
      </c:pivotFmt>
      <c:pivotFmt>
        <c:idx val="229"/>
      </c:pivotFmt>
      <c:pivotFmt>
        <c:idx val="230"/>
      </c:pivotFmt>
      <c:pivotFmt>
        <c:idx val="231"/>
      </c:pivotFmt>
      <c:pivotFmt>
        <c:idx val="232"/>
      </c:pivotFmt>
      <c:pivotFmt>
        <c:idx val="233"/>
      </c:pivotFmt>
      <c:pivotFmt>
        <c:idx val="234"/>
      </c:pivotFmt>
      <c:pivotFmt>
        <c:idx val="235"/>
      </c:pivotFmt>
      <c:pivotFmt>
        <c:idx val="236"/>
      </c:pivotFmt>
      <c:pivotFmt>
        <c:idx val="237"/>
      </c:pivotFmt>
      <c:pivotFmt>
        <c:idx val="238"/>
      </c:pivotFmt>
      <c:pivotFmt>
        <c:idx val="239"/>
      </c:pivotFmt>
      <c:pivotFmt>
        <c:idx val="240"/>
      </c:pivotFmt>
      <c:pivotFmt>
        <c:idx val="241"/>
      </c:pivotFmt>
      <c:pivotFmt>
        <c:idx val="242"/>
      </c:pivotFmt>
      <c:pivotFmt>
        <c:idx val="243"/>
      </c:pivotFmt>
      <c:pivotFmt>
        <c:idx val="244"/>
      </c:pivotFmt>
      <c:pivotFmt>
        <c:idx val="245"/>
      </c:pivotFmt>
      <c:pivotFmt>
        <c:idx val="246"/>
      </c:pivotFmt>
      <c:pivotFmt>
        <c:idx val="247"/>
      </c:pivotFmt>
      <c:pivotFmt>
        <c:idx val="248"/>
      </c:pivotFmt>
      <c:pivotFmt>
        <c:idx val="249"/>
      </c:pivotFmt>
      <c:pivotFmt>
        <c:idx val="250"/>
      </c:pivotFmt>
      <c:pivotFmt>
        <c:idx val="251"/>
      </c:pivotFmt>
      <c:pivotFmt>
        <c:idx val="252"/>
      </c:pivotFmt>
      <c:pivotFmt>
        <c:idx val="253"/>
      </c:pivotFmt>
      <c:pivotFmt>
        <c:idx val="254"/>
      </c:pivotFmt>
      <c:pivotFmt>
        <c:idx val="255"/>
      </c:pivotFmt>
      <c:pivotFmt>
        <c:idx val="256"/>
      </c:pivotFmt>
      <c:pivotFmt>
        <c:idx val="257"/>
      </c:pivotFmt>
      <c:pivotFmt>
        <c:idx val="258"/>
      </c:pivotFmt>
      <c:pivotFmt>
        <c:idx val="259"/>
      </c:pivotFmt>
      <c:pivotFmt>
        <c:idx val="260"/>
      </c:pivotFmt>
      <c:pivotFmt>
        <c:idx val="261"/>
      </c:pivotFmt>
      <c:pivotFmt>
        <c:idx val="262"/>
      </c:pivotFmt>
      <c:pivotFmt>
        <c:idx val="263"/>
      </c:pivotFmt>
      <c:pivotFmt>
        <c:idx val="264"/>
      </c:pivotFmt>
      <c:pivotFmt>
        <c:idx val="265"/>
      </c:pivotFmt>
      <c:pivotFmt>
        <c:idx val="266"/>
      </c:pivotFmt>
      <c:pivotFmt>
        <c:idx val="267"/>
      </c:pivotFmt>
      <c:pivotFmt>
        <c:idx val="268"/>
      </c:pivotFmt>
      <c:pivotFmt>
        <c:idx val="269"/>
      </c:pivotFmt>
      <c:pivotFmt>
        <c:idx val="270"/>
      </c:pivotFmt>
      <c:pivotFmt>
        <c:idx val="271"/>
      </c:pivotFmt>
      <c:pivotFmt>
        <c:idx val="272"/>
      </c:pivotFmt>
      <c:pivotFmt>
        <c:idx val="273"/>
      </c:pivotFmt>
      <c:pivotFmt>
        <c:idx val="274"/>
      </c:pivotFmt>
      <c:pivotFmt>
        <c:idx val="275"/>
      </c:pivotFmt>
      <c:pivotFmt>
        <c:idx val="276"/>
      </c:pivotFmt>
      <c:pivotFmt>
        <c:idx val="277"/>
      </c:pivotFmt>
      <c:pivotFmt>
        <c:idx val="278"/>
      </c:pivotFmt>
      <c:pivotFmt>
        <c:idx val="279"/>
      </c:pivotFmt>
      <c:pivotFmt>
        <c:idx val="280"/>
      </c:pivotFmt>
      <c:pivotFmt>
        <c:idx val="281"/>
      </c:pivotFmt>
      <c:pivotFmt>
        <c:idx val="282"/>
      </c:pivotFmt>
      <c:pivotFmt>
        <c:idx val="283"/>
      </c:pivotFmt>
      <c:pivotFmt>
        <c:idx val="284"/>
      </c:pivotFmt>
      <c:pivotFmt>
        <c:idx val="285"/>
      </c:pivotFmt>
      <c:pivotFmt>
        <c:idx val="286"/>
      </c:pivotFmt>
      <c:pivotFmt>
        <c:idx val="287"/>
      </c:pivotFmt>
      <c:pivotFmt>
        <c:idx val="288"/>
      </c:pivotFmt>
      <c:pivotFmt>
        <c:idx val="289"/>
      </c:pivotFmt>
      <c:pivotFmt>
        <c:idx val="290"/>
      </c:pivotFmt>
      <c:pivotFmt>
        <c:idx val="291"/>
      </c:pivotFmt>
      <c:pivotFmt>
        <c:idx val="292"/>
      </c:pivotFmt>
      <c:pivotFmt>
        <c:idx val="293"/>
      </c:pivotFmt>
      <c:pivotFmt>
        <c:idx val="294"/>
      </c:pivotFmt>
      <c:pivotFmt>
        <c:idx val="295"/>
      </c:pivotFmt>
      <c:pivotFmt>
        <c:idx val="296"/>
      </c:pivotFmt>
      <c:pivotFmt>
        <c:idx val="297"/>
      </c:pivotFmt>
      <c:pivotFmt>
        <c:idx val="298"/>
      </c:pivotFmt>
      <c:pivotFmt>
        <c:idx val="299"/>
      </c:pivotFmt>
      <c:pivotFmt>
        <c:idx val="300"/>
      </c:pivotFmt>
      <c:pivotFmt>
        <c:idx val="301"/>
      </c:pivotFmt>
      <c:pivotFmt>
        <c:idx val="302"/>
      </c:pivotFmt>
      <c:pivotFmt>
        <c:idx val="303"/>
      </c:pivotFmt>
      <c:pivotFmt>
        <c:idx val="304"/>
      </c:pivotFmt>
      <c:pivotFmt>
        <c:idx val="305"/>
      </c:pivotFmt>
      <c:pivotFmt>
        <c:idx val="306"/>
      </c:pivotFmt>
      <c:pivotFmt>
        <c:idx val="307"/>
      </c:pivotFmt>
      <c:pivotFmt>
        <c:idx val="308"/>
      </c:pivotFmt>
      <c:pivotFmt>
        <c:idx val="309"/>
      </c:pivotFmt>
      <c:pivotFmt>
        <c:idx val="310"/>
      </c:pivotFmt>
      <c:pivotFmt>
        <c:idx val="311"/>
      </c:pivotFmt>
      <c:pivotFmt>
        <c:idx val="312"/>
      </c:pivotFmt>
      <c:pivotFmt>
        <c:idx val="313"/>
      </c:pivotFmt>
      <c:pivotFmt>
        <c:idx val="314"/>
      </c:pivotFmt>
      <c:pivotFmt>
        <c:idx val="315"/>
      </c:pivotFmt>
      <c:pivotFmt>
        <c:idx val="316"/>
      </c:pivotFmt>
      <c:pivotFmt>
        <c:idx val="317"/>
      </c:pivotFmt>
      <c:pivotFmt>
        <c:idx val="318"/>
      </c:pivotFmt>
      <c:pivotFmt>
        <c:idx val="319"/>
      </c:pivotFmt>
      <c:pivotFmt>
        <c:idx val="320"/>
      </c:pivotFmt>
      <c:pivotFmt>
        <c:idx val="321"/>
      </c:pivotFmt>
      <c:pivotFmt>
        <c:idx val="322"/>
      </c:pivotFmt>
      <c:pivotFmt>
        <c:idx val="323"/>
      </c:pivotFmt>
      <c:pivotFmt>
        <c:idx val="324"/>
      </c:pivotFmt>
      <c:pivotFmt>
        <c:idx val="325"/>
      </c:pivotFmt>
      <c:pivotFmt>
        <c:idx val="326"/>
      </c:pivotFmt>
      <c:pivotFmt>
        <c:idx val="327"/>
      </c:pivotFmt>
      <c:pivotFmt>
        <c:idx val="328"/>
      </c:pivotFmt>
      <c:pivotFmt>
        <c:idx val="329"/>
      </c:pivotFmt>
      <c:pivotFmt>
        <c:idx val="330"/>
      </c:pivotFmt>
      <c:pivotFmt>
        <c:idx val="331"/>
      </c:pivotFmt>
      <c:pivotFmt>
        <c:idx val="332"/>
      </c:pivotFmt>
      <c:pivotFmt>
        <c:idx val="333"/>
      </c:pivotFmt>
      <c:pivotFmt>
        <c:idx val="334"/>
      </c:pivotFmt>
      <c:pivotFmt>
        <c:idx val="335"/>
      </c:pivotFmt>
      <c:pivotFmt>
        <c:idx val="336"/>
      </c:pivotFmt>
      <c:pivotFmt>
        <c:idx val="337"/>
      </c:pivotFmt>
      <c:pivotFmt>
        <c:idx val="338"/>
      </c:pivotFmt>
      <c:pivotFmt>
        <c:idx val="339"/>
      </c:pivotFmt>
      <c:pivotFmt>
        <c:idx val="340"/>
      </c:pivotFmt>
      <c:pivotFmt>
        <c:idx val="341"/>
      </c:pivotFmt>
      <c:pivotFmt>
        <c:idx val="342"/>
      </c:pivotFmt>
      <c:pivotFmt>
        <c:idx val="343"/>
      </c:pivotFmt>
      <c:pivotFmt>
        <c:idx val="344"/>
      </c:pivotFmt>
      <c:pivotFmt>
        <c:idx val="345"/>
      </c:pivotFmt>
      <c:pivotFmt>
        <c:idx val="346"/>
      </c:pivotFmt>
      <c:pivotFmt>
        <c:idx val="347"/>
      </c:pivotFmt>
      <c:pivotFmt>
        <c:idx val="348"/>
      </c:pivotFmt>
      <c:pivotFmt>
        <c:idx val="349"/>
      </c:pivotFmt>
      <c:pivotFmt>
        <c:idx val="350"/>
      </c:pivotFmt>
      <c:pivotFmt>
        <c:idx val="351"/>
      </c:pivotFmt>
      <c:pivotFmt>
        <c:idx val="352"/>
      </c:pivotFmt>
      <c:pivotFmt>
        <c:idx val="353"/>
      </c:pivotFmt>
      <c:pivotFmt>
        <c:idx val="354"/>
      </c:pivotFmt>
      <c:pivotFmt>
        <c:idx val="355"/>
      </c:pivotFmt>
      <c:pivotFmt>
        <c:idx val="356"/>
      </c:pivotFmt>
      <c:pivotFmt>
        <c:idx val="357"/>
      </c:pivotFmt>
      <c:pivotFmt>
        <c:idx val="358"/>
      </c:pivotFmt>
      <c:pivotFmt>
        <c:idx val="359"/>
      </c:pivotFmt>
      <c:pivotFmt>
        <c:idx val="360"/>
      </c:pivotFmt>
      <c:pivotFmt>
        <c:idx val="361"/>
      </c:pivotFmt>
      <c:pivotFmt>
        <c:idx val="362"/>
      </c:pivotFmt>
      <c:pivotFmt>
        <c:idx val="363"/>
      </c:pivotFmt>
      <c:pivotFmt>
        <c:idx val="364"/>
      </c:pivotFmt>
      <c:pivotFmt>
        <c:idx val="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7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88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89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9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9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39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9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0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401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40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403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"/>
      </c:pivotFmt>
      <c:pivotFmt>
        <c:idx val="405"/>
      </c:pivotFmt>
      <c:pivotFmt>
        <c:idx val="406"/>
      </c:pivotFmt>
      <c:pivotFmt>
        <c:idx val="407"/>
      </c:pivotFmt>
      <c:pivotFmt>
        <c:idx val="408"/>
      </c:pivotFmt>
      <c:pivotFmt>
        <c:idx val="40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"/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"/>
        <c:spPr>
          <a:ln w="19050">
            <a:solidFill>
              <a:schemeClr val="bg1"/>
            </a:solidFill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Pivots!$T$4:$T$5</c:f>
              <c:strCache>
                <c:ptCount val="1"/>
                <c:pt idx="0">
                  <c:v>Total findings</c:v>
                </c:pt>
              </c:strCache>
            </c:strRef>
          </c:tx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12C-A560-4006-952C-561C8D3AAE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12D-A560-4006-952C-561C8D3AAE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12E-A560-4006-952C-561C8D3AAE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12F-A560-4006-952C-561C8D3AAE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130-A560-4006-952C-561C8D3AAE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131-A560-4006-952C-561C8D3AAE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132-A560-4006-952C-561C8D3AAE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133-A560-4006-952C-561C8D3AAE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134-A560-4006-952C-561C8D3AAEE6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135-A560-4006-952C-561C8D3AAE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136-A560-4006-952C-561C8D3AAE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137-A560-4006-952C-561C8D3AAE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138-A560-4006-952C-561C8D3AAE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139-A560-4006-952C-561C8D3AAE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13A-A560-4006-952C-561C8D3AAE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13B-A560-4006-952C-561C8D3AAE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13C-A560-4006-952C-561C8D3AAE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13D-A560-4006-952C-561C8D3AAE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13E-A560-4006-952C-561C8D3AAEE6}"/>
              </c:ext>
            </c:extLst>
          </c:dPt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13F-A560-4006-952C-561C8D3AAEE6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140-A560-4006-952C-561C8D3AAEE6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141-A560-4006-952C-561C8D3AAEE6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142-A560-4006-952C-561C8D3AAEE6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143-A560-4006-952C-561C8D3AAEE6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144-A560-4006-952C-561C8D3AAEE6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145-A560-4006-952C-561C8D3AAEE6}"/>
              </c:ext>
            </c:extLst>
          </c:dPt>
          <c:dPt>
            <c:idx val="26"/>
            <c:bubble3D val="0"/>
            <c:extLst>
              <c:ext xmlns:c16="http://schemas.microsoft.com/office/drawing/2014/chart" uri="{C3380CC4-5D6E-409C-BE32-E72D297353CC}">
                <c16:uniqueId val="{00000146-A560-4006-952C-561C8D3AAEE6}"/>
              </c:ext>
            </c:extLst>
          </c:dPt>
          <c:dPt>
            <c:idx val="27"/>
            <c:bubble3D val="0"/>
            <c:extLst>
              <c:ext xmlns:c16="http://schemas.microsoft.com/office/drawing/2014/chart" uri="{C3380CC4-5D6E-409C-BE32-E72D297353CC}">
                <c16:uniqueId val="{00000147-A560-4006-952C-561C8D3AAEE6}"/>
              </c:ext>
            </c:extLst>
          </c:dPt>
          <c:dPt>
            <c:idx val="28"/>
            <c:bubble3D val="0"/>
            <c:extLst>
              <c:ext xmlns:c16="http://schemas.microsoft.com/office/drawing/2014/chart" uri="{C3380CC4-5D6E-409C-BE32-E72D297353CC}">
                <c16:uniqueId val="{00000148-A560-4006-952C-561C8D3AAEE6}"/>
              </c:ext>
            </c:extLst>
          </c:dPt>
          <c:dPt>
            <c:idx val="29"/>
            <c:bubble3D val="0"/>
            <c:extLst>
              <c:ext xmlns:c16="http://schemas.microsoft.com/office/drawing/2014/chart" uri="{C3380CC4-5D6E-409C-BE32-E72D297353CC}">
                <c16:uniqueId val="{00000149-A560-4006-952C-561C8D3AAEE6}"/>
              </c:ext>
            </c:extLst>
          </c:dPt>
          <c:dPt>
            <c:idx val="30"/>
            <c:bubble3D val="0"/>
            <c:extLst>
              <c:ext xmlns:c16="http://schemas.microsoft.com/office/drawing/2014/chart" uri="{C3380CC4-5D6E-409C-BE32-E72D297353CC}">
                <c16:uniqueId val="{0000014A-A560-4006-952C-561C8D3AAEE6}"/>
              </c:ext>
            </c:extLst>
          </c:dPt>
          <c:dPt>
            <c:idx val="31"/>
            <c:bubble3D val="0"/>
            <c:extLst>
              <c:ext xmlns:c16="http://schemas.microsoft.com/office/drawing/2014/chart" uri="{C3380CC4-5D6E-409C-BE32-E72D297353CC}">
                <c16:uniqueId val="{0000014B-A560-4006-952C-561C8D3AAEE6}"/>
              </c:ext>
            </c:extLst>
          </c:dPt>
          <c:dPt>
            <c:idx val="32"/>
            <c:bubble3D val="0"/>
            <c:extLst>
              <c:ext xmlns:c16="http://schemas.microsoft.com/office/drawing/2014/chart" uri="{C3380CC4-5D6E-409C-BE32-E72D297353CC}">
                <c16:uniqueId val="{0000014C-A560-4006-952C-561C8D3AAEE6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14D-A560-4006-952C-561C8D3AAEE6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14E-A560-4006-952C-561C8D3AAEE6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14F-A560-4006-952C-561C8D3AAEE6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150-A560-4006-952C-561C8D3AAEE6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151-A560-4006-952C-561C8D3AAEE6}"/>
              </c:ext>
            </c:extLst>
          </c:dPt>
          <c:dPt>
            <c:idx val="38"/>
            <c:bubble3D val="0"/>
            <c:extLst>
              <c:ext xmlns:c16="http://schemas.microsoft.com/office/drawing/2014/chart" uri="{C3380CC4-5D6E-409C-BE32-E72D297353CC}">
                <c16:uniqueId val="{00000152-A560-4006-952C-561C8D3AAEE6}"/>
              </c:ext>
            </c:extLst>
          </c:dPt>
          <c:dPt>
            <c:idx val="39"/>
            <c:bubble3D val="0"/>
            <c:extLst>
              <c:ext xmlns:c16="http://schemas.microsoft.com/office/drawing/2014/chart" uri="{C3380CC4-5D6E-409C-BE32-E72D297353CC}">
                <c16:uniqueId val="{00000153-A560-4006-952C-561C8D3AAEE6}"/>
              </c:ext>
            </c:extLst>
          </c:dPt>
          <c:dPt>
            <c:idx val="40"/>
            <c:bubble3D val="0"/>
            <c:extLst>
              <c:ext xmlns:c16="http://schemas.microsoft.com/office/drawing/2014/chart" uri="{C3380CC4-5D6E-409C-BE32-E72D297353CC}">
                <c16:uniqueId val="{00000154-A560-4006-952C-561C8D3AAEE6}"/>
              </c:ext>
            </c:extLst>
          </c:dPt>
          <c:dPt>
            <c:idx val="41"/>
            <c:bubble3D val="0"/>
            <c:extLst>
              <c:ext xmlns:c16="http://schemas.microsoft.com/office/drawing/2014/chart" uri="{C3380CC4-5D6E-409C-BE32-E72D297353CC}">
                <c16:uniqueId val="{00000155-A560-4006-952C-561C8D3AAEE6}"/>
              </c:ext>
            </c:extLst>
          </c:dPt>
          <c:dPt>
            <c:idx val="42"/>
            <c:bubble3D val="0"/>
            <c:extLst>
              <c:ext xmlns:c16="http://schemas.microsoft.com/office/drawing/2014/chart" uri="{C3380CC4-5D6E-409C-BE32-E72D297353CC}">
                <c16:uniqueId val="{00000156-A560-4006-952C-561C8D3AAEE6}"/>
              </c:ext>
            </c:extLst>
          </c:dPt>
          <c:dPt>
            <c:idx val="43"/>
            <c:bubble3D val="0"/>
            <c:extLst>
              <c:ext xmlns:c16="http://schemas.microsoft.com/office/drawing/2014/chart" uri="{C3380CC4-5D6E-409C-BE32-E72D297353CC}">
                <c16:uniqueId val="{00000157-A560-4006-952C-561C8D3AAEE6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158-A560-4006-952C-561C8D3AAEE6}"/>
              </c:ext>
            </c:extLst>
          </c:dPt>
          <c:dPt>
            <c:idx val="45"/>
            <c:bubble3D val="0"/>
            <c:extLst>
              <c:ext xmlns:c16="http://schemas.microsoft.com/office/drawing/2014/chart" uri="{C3380CC4-5D6E-409C-BE32-E72D297353CC}">
                <c16:uniqueId val="{00000159-A560-4006-952C-561C8D3AAEE6}"/>
              </c:ext>
            </c:extLst>
          </c:dPt>
          <c:dPt>
            <c:idx val="46"/>
            <c:bubble3D val="0"/>
            <c:extLst>
              <c:ext xmlns:c16="http://schemas.microsoft.com/office/drawing/2014/chart" uri="{C3380CC4-5D6E-409C-BE32-E72D297353CC}">
                <c16:uniqueId val="{0000015A-A560-4006-952C-561C8D3AAEE6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15B-A560-4006-952C-561C8D3AAEE6}"/>
              </c:ext>
            </c:extLst>
          </c:dPt>
          <c:dPt>
            <c:idx val="48"/>
            <c:bubble3D val="0"/>
            <c:extLst>
              <c:ext xmlns:c16="http://schemas.microsoft.com/office/drawing/2014/chart" uri="{C3380CC4-5D6E-409C-BE32-E72D297353CC}">
                <c16:uniqueId val="{0000015C-A560-4006-952C-561C8D3AAEE6}"/>
              </c:ext>
            </c:extLst>
          </c:dPt>
          <c:dPt>
            <c:idx val="49"/>
            <c:bubble3D val="0"/>
            <c:extLst>
              <c:ext xmlns:c16="http://schemas.microsoft.com/office/drawing/2014/chart" uri="{C3380CC4-5D6E-409C-BE32-E72D297353CC}">
                <c16:uniqueId val="{0000015D-A560-4006-952C-561C8D3AAEE6}"/>
              </c:ext>
            </c:extLst>
          </c:dPt>
          <c:dPt>
            <c:idx val="50"/>
            <c:bubble3D val="0"/>
            <c:extLst>
              <c:ext xmlns:c16="http://schemas.microsoft.com/office/drawing/2014/chart" uri="{C3380CC4-5D6E-409C-BE32-E72D297353CC}">
                <c16:uniqueId val="{0000015E-A560-4006-952C-561C8D3AAEE6}"/>
              </c:ext>
            </c:extLst>
          </c:dPt>
          <c:dPt>
            <c:idx val="51"/>
            <c:bubble3D val="0"/>
            <c:extLst>
              <c:ext xmlns:c16="http://schemas.microsoft.com/office/drawing/2014/chart" uri="{C3380CC4-5D6E-409C-BE32-E72D297353CC}">
                <c16:uniqueId val="{0000015F-A560-4006-952C-561C8D3AAEE6}"/>
              </c:ext>
            </c:extLst>
          </c:dPt>
          <c:dPt>
            <c:idx val="52"/>
            <c:bubble3D val="0"/>
            <c:extLst>
              <c:ext xmlns:c16="http://schemas.microsoft.com/office/drawing/2014/chart" uri="{C3380CC4-5D6E-409C-BE32-E72D297353CC}">
                <c16:uniqueId val="{00000160-A560-4006-952C-561C8D3AAEE6}"/>
              </c:ext>
            </c:extLst>
          </c:dPt>
          <c:dPt>
            <c:idx val="53"/>
            <c:bubble3D val="0"/>
            <c:extLst>
              <c:ext xmlns:c16="http://schemas.microsoft.com/office/drawing/2014/chart" uri="{C3380CC4-5D6E-409C-BE32-E72D297353CC}">
                <c16:uniqueId val="{00000161-A560-4006-952C-561C8D3AAEE6}"/>
              </c:ext>
            </c:extLst>
          </c:dPt>
          <c:dPt>
            <c:idx val="54"/>
            <c:bubble3D val="0"/>
            <c:extLst>
              <c:ext xmlns:c16="http://schemas.microsoft.com/office/drawing/2014/chart" uri="{C3380CC4-5D6E-409C-BE32-E72D297353CC}">
                <c16:uniqueId val="{00000162-A560-4006-952C-561C8D3AAEE6}"/>
              </c:ext>
            </c:extLst>
          </c:dPt>
          <c:dPt>
            <c:idx val="55"/>
            <c:bubble3D val="0"/>
            <c:extLst>
              <c:ext xmlns:c16="http://schemas.microsoft.com/office/drawing/2014/chart" uri="{C3380CC4-5D6E-409C-BE32-E72D297353CC}">
                <c16:uniqueId val="{00000163-A560-4006-952C-561C8D3AAEE6}"/>
              </c:ext>
            </c:extLst>
          </c:dPt>
          <c:dPt>
            <c:idx val="56"/>
            <c:bubble3D val="0"/>
            <c:extLst>
              <c:ext xmlns:c16="http://schemas.microsoft.com/office/drawing/2014/chart" uri="{C3380CC4-5D6E-409C-BE32-E72D297353CC}">
                <c16:uniqueId val="{00000164-A560-4006-952C-561C8D3AAEE6}"/>
              </c:ext>
            </c:extLst>
          </c:dPt>
          <c:dPt>
            <c:idx val="57"/>
            <c:bubble3D val="0"/>
            <c:extLst>
              <c:ext xmlns:c16="http://schemas.microsoft.com/office/drawing/2014/chart" uri="{C3380CC4-5D6E-409C-BE32-E72D297353CC}">
                <c16:uniqueId val="{00000165-A560-4006-952C-561C8D3AAEE6}"/>
              </c:ext>
            </c:extLst>
          </c:dPt>
          <c:dPt>
            <c:idx val="58"/>
            <c:bubble3D val="0"/>
            <c:extLst>
              <c:ext xmlns:c16="http://schemas.microsoft.com/office/drawing/2014/chart" uri="{C3380CC4-5D6E-409C-BE32-E72D297353CC}">
                <c16:uniqueId val="{00000166-A560-4006-952C-561C8D3AAEE6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167-A560-4006-952C-561C8D3AAEE6}"/>
              </c:ext>
            </c:extLst>
          </c:dPt>
          <c:dPt>
            <c:idx val="60"/>
            <c:bubble3D val="0"/>
            <c:extLst>
              <c:ext xmlns:c16="http://schemas.microsoft.com/office/drawing/2014/chart" uri="{C3380CC4-5D6E-409C-BE32-E72D297353CC}">
                <c16:uniqueId val="{00000168-A560-4006-952C-561C8D3AAEE6}"/>
              </c:ext>
            </c:extLst>
          </c:dPt>
          <c:dPt>
            <c:idx val="61"/>
            <c:bubble3D val="0"/>
            <c:extLst>
              <c:ext xmlns:c16="http://schemas.microsoft.com/office/drawing/2014/chart" uri="{C3380CC4-5D6E-409C-BE32-E72D297353CC}">
                <c16:uniqueId val="{00000169-A560-4006-952C-561C8D3AAEE6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16A-A560-4006-952C-561C8D3AAEE6}"/>
              </c:ext>
            </c:extLst>
          </c:dPt>
          <c:dPt>
            <c:idx val="63"/>
            <c:bubble3D val="0"/>
            <c:extLst>
              <c:ext xmlns:c16="http://schemas.microsoft.com/office/drawing/2014/chart" uri="{C3380CC4-5D6E-409C-BE32-E72D297353CC}">
                <c16:uniqueId val="{0000016B-A560-4006-952C-561C8D3AAEE6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16C-A560-4006-952C-561C8D3AAEE6}"/>
              </c:ext>
            </c:extLst>
          </c:dPt>
          <c:dPt>
            <c:idx val="65"/>
            <c:bubble3D val="0"/>
            <c:extLst>
              <c:ext xmlns:c16="http://schemas.microsoft.com/office/drawing/2014/chart" uri="{C3380CC4-5D6E-409C-BE32-E72D297353CC}">
                <c16:uniqueId val="{0000016D-A560-4006-952C-561C8D3AAEE6}"/>
              </c:ext>
            </c:extLst>
          </c:dPt>
          <c:dPt>
            <c:idx val="66"/>
            <c:bubble3D val="0"/>
            <c:extLst>
              <c:ext xmlns:c16="http://schemas.microsoft.com/office/drawing/2014/chart" uri="{C3380CC4-5D6E-409C-BE32-E72D297353CC}">
                <c16:uniqueId val="{0000016E-A560-4006-952C-561C8D3AAEE6}"/>
              </c:ext>
            </c:extLst>
          </c:dPt>
          <c:dPt>
            <c:idx val="67"/>
            <c:bubble3D val="0"/>
            <c:extLst>
              <c:ext xmlns:c16="http://schemas.microsoft.com/office/drawing/2014/chart" uri="{C3380CC4-5D6E-409C-BE32-E72D297353CC}">
                <c16:uniqueId val="{0000016F-A560-4006-952C-561C8D3AAEE6}"/>
              </c:ext>
            </c:extLst>
          </c:dPt>
          <c:dPt>
            <c:idx val="68"/>
            <c:bubble3D val="0"/>
            <c:extLst>
              <c:ext xmlns:c16="http://schemas.microsoft.com/office/drawing/2014/chart" uri="{C3380CC4-5D6E-409C-BE32-E72D297353CC}">
                <c16:uniqueId val="{00000170-A560-4006-952C-561C8D3AAEE6}"/>
              </c:ext>
            </c:extLst>
          </c:dPt>
          <c:dPt>
            <c:idx val="69"/>
            <c:bubble3D val="0"/>
            <c:extLst>
              <c:ext xmlns:c16="http://schemas.microsoft.com/office/drawing/2014/chart" uri="{C3380CC4-5D6E-409C-BE32-E72D297353CC}">
                <c16:uniqueId val="{00000171-A560-4006-952C-561C8D3AAEE6}"/>
              </c:ext>
            </c:extLst>
          </c:dPt>
          <c:dPt>
            <c:idx val="70"/>
            <c:bubble3D val="0"/>
            <c:extLst>
              <c:ext xmlns:c16="http://schemas.microsoft.com/office/drawing/2014/chart" uri="{C3380CC4-5D6E-409C-BE32-E72D297353CC}">
                <c16:uniqueId val="{00000172-A560-4006-952C-561C8D3AAEE6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173-A560-4006-952C-561C8D3AAEE6}"/>
              </c:ext>
            </c:extLst>
          </c:dPt>
          <c:dPt>
            <c:idx val="72"/>
            <c:bubble3D val="0"/>
            <c:extLst>
              <c:ext xmlns:c16="http://schemas.microsoft.com/office/drawing/2014/chart" uri="{C3380CC4-5D6E-409C-BE32-E72D297353CC}">
                <c16:uniqueId val="{00000174-A560-4006-952C-561C8D3AAEE6}"/>
              </c:ext>
            </c:extLst>
          </c:dPt>
          <c:dPt>
            <c:idx val="73"/>
            <c:bubble3D val="0"/>
            <c:extLst>
              <c:ext xmlns:c16="http://schemas.microsoft.com/office/drawing/2014/chart" uri="{C3380CC4-5D6E-409C-BE32-E72D297353CC}">
                <c16:uniqueId val="{00000175-A560-4006-952C-561C8D3AAEE6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176-A560-4006-952C-561C8D3AAEE6}"/>
              </c:ext>
            </c:extLst>
          </c:dPt>
          <c:dPt>
            <c:idx val="75"/>
            <c:bubble3D val="0"/>
            <c:extLst>
              <c:ext xmlns:c16="http://schemas.microsoft.com/office/drawing/2014/chart" uri="{C3380CC4-5D6E-409C-BE32-E72D297353CC}">
                <c16:uniqueId val="{00000177-A560-4006-952C-561C8D3AAEE6}"/>
              </c:ext>
            </c:extLst>
          </c:dPt>
          <c:dPt>
            <c:idx val="76"/>
            <c:bubble3D val="0"/>
            <c:extLst>
              <c:ext xmlns:c16="http://schemas.microsoft.com/office/drawing/2014/chart" uri="{C3380CC4-5D6E-409C-BE32-E72D297353CC}">
                <c16:uniqueId val="{00000178-A560-4006-952C-561C8D3AAEE6}"/>
              </c:ext>
            </c:extLst>
          </c:dPt>
          <c:dPt>
            <c:idx val="77"/>
            <c:bubble3D val="0"/>
            <c:extLst>
              <c:ext xmlns:c16="http://schemas.microsoft.com/office/drawing/2014/chart" uri="{C3380CC4-5D6E-409C-BE32-E72D297353CC}">
                <c16:uniqueId val="{00000179-A560-4006-952C-561C8D3AAEE6}"/>
              </c:ext>
            </c:extLst>
          </c:dPt>
          <c:dPt>
            <c:idx val="78"/>
            <c:bubble3D val="0"/>
            <c:extLst>
              <c:ext xmlns:c16="http://schemas.microsoft.com/office/drawing/2014/chart" uri="{C3380CC4-5D6E-409C-BE32-E72D297353CC}">
                <c16:uniqueId val="{0000017A-A560-4006-952C-561C8D3AAEE6}"/>
              </c:ext>
            </c:extLst>
          </c:dPt>
          <c:dPt>
            <c:idx val="79"/>
            <c:bubble3D val="0"/>
            <c:extLst>
              <c:ext xmlns:c16="http://schemas.microsoft.com/office/drawing/2014/chart" uri="{C3380CC4-5D6E-409C-BE32-E72D297353CC}">
                <c16:uniqueId val="{0000017B-A560-4006-952C-561C8D3AAEE6}"/>
              </c:ext>
            </c:extLst>
          </c:dPt>
          <c:dPt>
            <c:idx val="80"/>
            <c:bubble3D val="0"/>
            <c:extLst>
              <c:ext xmlns:c16="http://schemas.microsoft.com/office/drawing/2014/chart" uri="{C3380CC4-5D6E-409C-BE32-E72D297353CC}">
                <c16:uniqueId val="{0000017C-A560-4006-952C-561C8D3AAEE6}"/>
              </c:ext>
            </c:extLst>
          </c:dPt>
          <c:dPt>
            <c:idx val="81"/>
            <c:bubble3D val="0"/>
            <c:extLst>
              <c:ext xmlns:c16="http://schemas.microsoft.com/office/drawing/2014/chart" uri="{C3380CC4-5D6E-409C-BE32-E72D297353CC}">
                <c16:uniqueId val="{0000017D-A560-4006-952C-561C8D3AAEE6}"/>
              </c:ext>
            </c:extLst>
          </c:dPt>
          <c:dPt>
            <c:idx val="82"/>
            <c:bubble3D val="0"/>
            <c:extLst>
              <c:ext xmlns:c16="http://schemas.microsoft.com/office/drawing/2014/chart" uri="{C3380CC4-5D6E-409C-BE32-E72D297353CC}">
                <c16:uniqueId val="{0000017E-A560-4006-952C-561C8D3AAEE6}"/>
              </c:ext>
            </c:extLst>
          </c:dPt>
          <c:dPt>
            <c:idx val="83"/>
            <c:bubble3D val="0"/>
            <c:extLst>
              <c:ext xmlns:c16="http://schemas.microsoft.com/office/drawing/2014/chart" uri="{C3380CC4-5D6E-409C-BE32-E72D297353CC}">
                <c16:uniqueId val="{0000017F-A560-4006-952C-561C8D3AAEE6}"/>
              </c:ext>
            </c:extLst>
          </c:dPt>
          <c:dPt>
            <c:idx val="84"/>
            <c:bubble3D val="0"/>
            <c:extLst>
              <c:ext xmlns:c16="http://schemas.microsoft.com/office/drawing/2014/chart" uri="{C3380CC4-5D6E-409C-BE32-E72D297353CC}">
                <c16:uniqueId val="{00000180-A560-4006-952C-561C8D3AAEE6}"/>
              </c:ext>
            </c:extLst>
          </c:dPt>
          <c:dPt>
            <c:idx val="85"/>
            <c:bubble3D val="0"/>
            <c:extLst>
              <c:ext xmlns:c16="http://schemas.microsoft.com/office/drawing/2014/chart" uri="{C3380CC4-5D6E-409C-BE32-E72D297353CC}">
                <c16:uniqueId val="{00000181-A560-4006-952C-561C8D3AAEE6}"/>
              </c:ext>
            </c:extLst>
          </c:dPt>
          <c:dPt>
            <c:idx val="86"/>
            <c:bubble3D val="0"/>
            <c:extLst>
              <c:ext xmlns:c16="http://schemas.microsoft.com/office/drawing/2014/chart" uri="{C3380CC4-5D6E-409C-BE32-E72D297353CC}">
                <c16:uniqueId val="{00000182-A560-4006-952C-561C8D3AAEE6}"/>
              </c:ext>
            </c:extLst>
          </c:dPt>
          <c:dPt>
            <c:idx val="87"/>
            <c:bubble3D val="0"/>
            <c:extLst>
              <c:ext xmlns:c16="http://schemas.microsoft.com/office/drawing/2014/chart" uri="{C3380CC4-5D6E-409C-BE32-E72D297353CC}">
                <c16:uniqueId val="{00000183-A560-4006-952C-561C8D3AAEE6}"/>
              </c:ext>
            </c:extLst>
          </c:dPt>
          <c:dPt>
            <c:idx val="88"/>
            <c:bubble3D val="0"/>
            <c:extLst>
              <c:ext xmlns:c16="http://schemas.microsoft.com/office/drawing/2014/chart" uri="{C3380CC4-5D6E-409C-BE32-E72D297353CC}">
                <c16:uniqueId val="{00000184-A560-4006-952C-561C8D3AAEE6}"/>
              </c:ext>
            </c:extLst>
          </c:dPt>
          <c:dPt>
            <c:idx val="89"/>
            <c:bubble3D val="0"/>
            <c:extLst>
              <c:ext xmlns:c16="http://schemas.microsoft.com/office/drawing/2014/chart" uri="{C3380CC4-5D6E-409C-BE32-E72D297353CC}">
                <c16:uniqueId val="{00000185-A560-4006-952C-561C8D3AAEE6}"/>
              </c:ext>
            </c:extLst>
          </c:dPt>
          <c:dPt>
            <c:idx val="90"/>
            <c:bubble3D val="0"/>
            <c:extLst>
              <c:ext xmlns:c16="http://schemas.microsoft.com/office/drawing/2014/chart" uri="{C3380CC4-5D6E-409C-BE32-E72D297353CC}">
                <c16:uniqueId val="{00000186-A560-4006-952C-561C8D3AAEE6}"/>
              </c:ext>
            </c:extLst>
          </c:dPt>
          <c:dPt>
            <c:idx val="91"/>
            <c:bubble3D val="0"/>
            <c:extLst>
              <c:ext xmlns:c16="http://schemas.microsoft.com/office/drawing/2014/chart" uri="{C3380CC4-5D6E-409C-BE32-E72D297353CC}">
                <c16:uniqueId val="{00000187-A560-4006-952C-561C8D3AAEE6}"/>
              </c:ext>
            </c:extLst>
          </c:dPt>
          <c:dPt>
            <c:idx val="92"/>
            <c:bubble3D val="0"/>
            <c:extLst>
              <c:ext xmlns:c16="http://schemas.microsoft.com/office/drawing/2014/chart" uri="{C3380CC4-5D6E-409C-BE32-E72D297353CC}">
                <c16:uniqueId val="{00000188-A560-4006-952C-561C8D3AAEE6}"/>
              </c:ext>
            </c:extLst>
          </c:dPt>
          <c:dPt>
            <c:idx val="93"/>
            <c:bubble3D val="0"/>
            <c:extLst>
              <c:ext xmlns:c16="http://schemas.microsoft.com/office/drawing/2014/chart" uri="{C3380CC4-5D6E-409C-BE32-E72D297353CC}">
                <c16:uniqueId val="{00000189-A560-4006-952C-561C8D3AAEE6}"/>
              </c:ext>
            </c:extLst>
          </c:dPt>
          <c:dPt>
            <c:idx val="94"/>
            <c:bubble3D val="0"/>
            <c:extLst>
              <c:ext xmlns:c16="http://schemas.microsoft.com/office/drawing/2014/chart" uri="{C3380CC4-5D6E-409C-BE32-E72D297353CC}">
                <c16:uniqueId val="{0000018A-A560-4006-952C-561C8D3AAEE6}"/>
              </c:ext>
            </c:extLst>
          </c:dPt>
          <c:dPt>
            <c:idx val="95"/>
            <c:bubble3D val="0"/>
            <c:extLst>
              <c:ext xmlns:c16="http://schemas.microsoft.com/office/drawing/2014/chart" uri="{C3380CC4-5D6E-409C-BE32-E72D297353CC}">
                <c16:uniqueId val="{0000018B-A560-4006-952C-561C8D3AAEE6}"/>
              </c:ext>
            </c:extLst>
          </c:dPt>
          <c:dPt>
            <c:idx val="96"/>
            <c:bubble3D val="0"/>
            <c:extLst>
              <c:ext xmlns:c16="http://schemas.microsoft.com/office/drawing/2014/chart" uri="{C3380CC4-5D6E-409C-BE32-E72D297353CC}">
                <c16:uniqueId val="{0000018C-A560-4006-952C-561C8D3AAEE6}"/>
              </c:ext>
            </c:extLst>
          </c:dPt>
          <c:dPt>
            <c:idx val="97"/>
            <c:bubble3D val="0"/>
            <c:extLst>
              <c:ext xmlns:c16="http://schemas.microsoft.com/office/drawing/2014/chart" uri="{C3380CC4-5D6E-409C-BE32-E72D297353CC}">
                <c16:uniqueId val="{0000018D-A560-4006-952C-561C8D3AAEE6}"/>
              </c:ext>
            </c:extLst>
          </c:dPt>
          <c:dPt>
            <c:idx val="98"/>
            <c:bubble3D val="0"/>
            <c:extLst>
              <c:ext xmlns:c16="http://schemas.microsoft.com/office/drawing/2014/chart" uri="{C3380CC4-5D6E-409C-BE32-E72D297353CC}">
                <c16:uniqueId val="{0000018E-A560-4006-952C-561C8D3AAEE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Pivots!$S$6</c:f>
              <c:strCache>
                <c:ptCount val="1"/>
                <c:pt idx="0">
                  <c:v>Total findings</c:v>
                </c:pt>
              </c:strCache>
            </c:strRef>
          </c:cat>
          <c:val>
            <c:numRef>
              <c:f>Pivots!$T$6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8F-A560-4006-952C-561C8D3AAEE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rgbClr val="BFBFBF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213360</xdr:colOff>
      <xdr:row>1</xdr:row>
      <xdr:rowOff>68580</xdr:rowOff>
    </xdr:from>
    <xdr:to>
      <xdr:col>7</xdr:col>
      <xdr:colOff>289560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708660</xdr:colOff>
      <xdr:row>30</xdr:row>
      <xdr:rowOff>121920</xdr:rowOff>
    </xdr:from>
    <xdr:to>
      <xdr:col>18</xdr:col>
      <xdr:colOff>205740</xdr:colOff>
      <xdr:row>45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213360</xdr:colOff>
      <xdr:row>16</xdr:row>
      <xdr:rowOff>0</xdr:rowOff>
    </xdr:from>
    <xdr:to>
      <xdr:col>8</xdr:col>
      <xdr:colOff>708660</xdr:colOff>
      <xdr:row>30</xdr:row>
      <xdr:rowOff>121920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213360</xdr:colOff>
      <xdr:row>30</xdr:row>
      <xdr:rowOff>121920</xdr:rowOff>
    </xdr:from>
    <xdr:to>
      <xdr:col>8</xdr:col>
      <xdr:colOff>708660</xdr:colOff>
      <xdr:row>45</xdr:row>
      <xdr:rowOff>121920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708660</xdr:colOff>
      <xdr:row>16</xdr:row>
      <xdr:rowOff>0</xdr:rowOff>
    </xdr:from>
    <xdr:to>
      <xdr:col>18</xdr:col>
      <xdr:colOff>205740</xdr:colOff>
      <xdr:row>30</xdr:row>
      <xdr:rowOff>121920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italii Sobchenko" refreshedDate="46311.414843055558" createdVersion="8" refreshedVersion="8" minRefreshableVersion="3" recordCount="1" xr:uid="{00000000-000A-0000-FFFF-FFFF0A000000}">
  <cacheSource type="worksheet">
    <worksheetSource name="raw_table"/>
  </cacheSource>
  <cacheFields count="17">
    <cacheField name="ResourceType" numFmtId="0">
      <sharedItems containsNonDate="0" containsBlank="1" count="183">
        <m/>
        <s v="Account" u="1"/>
        <s v="ACM Certificate" u="1"/>
        <s v="MWAA Environment" u="1"/>
        <s v="EC2 Image" u="1"/>
        <s v="API Gateway V2 Stage" u="1"/>
        <s v="ELBv2 Load Balancer" u="1"/>
        <s v="AppFlow Flow" u="1"/>
        <s v="Backup Plan" u="1"/>
        <s v="Backup Vault" u="1"/>
        <s v="ElastiCache Cluster" u="1"/>
        <s v="CloudFormation Stack" u="1"/>
        <s v="CloudTrail Trail" u="1"/>
        <s v="CodeBuild Project" u="1"/>
        <s v="CodeBuild Source Credential" u="1"/>
        <s v="CodeDeploy Deployment Group" u="1"/>
        <s v="CodePipeline Pipeline" u="1"/>
        <s v="Config Recorder" u="1"/>
        <s v="CloudFront Distribution" u="1"/>
        <s v="DLM LifecyclePolicy" u="1"/>
        <s v="DMS Instance" u="1"/>
        <s v="DynamoDB Table" u="1"/>
        <s v="EBS Volume" u="1"/>
        <s v="EBS Snapshot" u="1"/>
        <s v="EC2 Instance" u="1"/>
        <s v="EC2 Reserved Instance" u="1"/>
        <s v="ECR Repository" u="1"/>
        <s v="ECS Task Definition" u="1"/>
        <s v="EFS File System" u="1"/>
        <s v="EC2 Elastic IP" u="1"/>
        <s v="ElastiCache Replication Group" u="1"/>
        <s v="OpenSearch  Domain" u="1"/>
        <s v="OpenSearch Reserved Instance" u="1"/>
        <s v="EMR Cluster" u="1"/>
        <s v="EC2 Network Interface" u="1"/>
        <s v="EventBridge Event Bus" u="1"/>
        <s v="Kinesis Firehose Delivery Stream" u="1"/>
        <s v="FSx File System" u="1"/>
        <s v="FSx Backup" u="1"/>
        <s v="FSx Volume" u="1"/>
        <s v="S3 Glacier Vault" u="1"/>
        <s v="Glue Database" u="1"/>
        <s v="Glue Job" u="1"/>
        <s v="Glue Security Configuration" u="1"/>
        <s v="Route 53 Hosted Zone" u="1"/>
        <s v="IAM Group" u="1"/>
        <s v="IAM Policy" u="1"/>
        <s v="IAM Role" u="1"/>
        <s v="VPC Internet Gateway" u="1"/>
        <s v="MSK Cluster" u="1"/>
        <s v="EC2 Key Pair" u="1"/>
        <s v="Kinesis Video Stream" u="1"/>
        <s v="KMS Key" u="1"/>
        <s v="Lambda Function" u="1"/>
        <s v="Lightsail Instance" u="1"/>
        <s v="CloudWatch Log Group" u="1"/>
        <s v="MQ Broker" u="1"/>
        <s v="VPC NAT Gateway" u="1"/>
        <s v="VPC Network ACL" u="1"/>
        <s v="VPC Peering Connection" u="1"/>
        <s v="Route 53 Domain" u="1"/>
        <s v="RDS Snapshot" u="1"/>
        <s v="Redshift Cluster" u="1"/>
        <s v="Redshift Reserved Instance" u="1"/>
        <s v="API Gateway REST API" u="1"/>
        <s v="API Gateway Resource" u="1"/>
        <s v="API Gateway Stage" u="1"/>
        <s v="VPC Route Table" u="1"/>
        <s v="Route 53 Record Set" u="1"/>
        <s v="S3 Bucket" u="1"/>
        <s v="SageMaker Endpoint Config" u="1"/>
        <s v="SageMaker Model" u="1"/>
        <s v="SageMaker Notebook Instance" u="1"/>
        <s v="Secrets Manager Secret" u="1"/>
        <s v="EC2 Security Group" u="1"/>
        <s v="SNS Topic" u="1"/>
        <s v="SQS Queue" u="1"/>
        <s v="VPC Subnet" u="1"/>
        <s v="VPC Network" u="1"/>
        <s v="VPC Endpoint" u="1"/>
        <s v="WAF WebACL" u="1"/>
        <s v="WAF Regional WebACL" u="1"/>
        <s v="WAF Rule" u="1"/>
        <s v="WAF Rule Group" u="1"/>
        <s v="WorkSpaces Image" u="1"/>
        <s v="aws.account" u="1"/>
        <s v="aws.acm-certificate" u="1"/>
        <s v="aws.airflow" u="1"/>
        <s v="aws.ami" u="1"/>
        <s v="aws.apigwv2-stage" u="1"/>
        <s v="aws.app-elb" u="1"/>
        <s v="aws.app-flow" u="1"/>
        <s v="aws.backup-plan" u="1"/>
        <s v="aws.backup-vault" u="1"/>
        <s v="aws.cache-cluster" u="1"/>
        <s v="aws.cfn" u="1"/>
        <s v="aws.cloudtrail" u="1"/>
        <s v="aws.codebuild" u="1"/>
        <s v="aws.codebuild-credential" u="1"/>
        <s v="aws.codedeploy-group" u="1"/>
        <s v="aws.codepipeline" u="1"/>
        <s v="aws.config-recorder" u="1"/>
        <s v="aws.distribution" u="1"/>
        <s v="aws.dlm-policy" u="1"/>
        <s v="aws.dms-instance" u="1"/>
        <s v="aws.dynamodb-table" u="1"/>
        <s v="aws.ebs" u="1"/>
        <s v="aws.ebs-snapshot" u="1"/>
        <s v="aws.ec2" u="1"/>
        <s v="aws.ec2-reserved" u="1"/>
        <s v="aws.ecr" u="1"/>
        <s v="aws.ecs-task-definition" u="1"/>
        <s v="aws.efs" u="1"/>
        <s v="aws.elastic-ip" u="1"/>
        <s v="aws.elasticache-group" u="1"/>
        <s v="aws.elasticsearch" u="1"/>
        <s v="aws.emr" u="1"/>
        <s v="aws.eni" u="1"/>
        <s v="aws.event-bus" u="1"/>
        <s v="aws.firehose" u="1"/>
        <s v="aws.fsx" u="1"/>
        <s v="aws.fsx-backup" u="1"/>
        <s v="aws.fsx-volume" u="1"/>
        <s v="aws.glacier" u="1"/>
        <s v="aws.glue-catalog" u="1"/>
        <s v="aws.glue-job" u="1"/>
        <s v="aws.glue-security-configuration" u="1"/>
        <s v="aws.hostedzone" u="1"/>
        <s v="aws.iam-group" u="1"/>
        <s v="aws.iam-policy" u="1"/>
        <s v="aws.iam-profile" u="1"/>
        <s v="aws.iam-role" u="1"/>
        <s v="aws.internet-gateway" u="1"/>
        <s v="aws.kafka" u="1"/>
        <s v="aws.key-pair" u="1"/>
        <s v="aws.kinesis-video" u="1"/>
        <s v="aws.kms-key" u="1"/>
        <s v="aws.lambda" u="1"/>
        <s v="aws.lightsail-instance" u="1"/>
        <s v="aws.log-group" u="1"/>
        <s v="aws.message-broker" u="1"/>
        <s v="aws.nat-gateway" u="1"/>
        <s v="aws.network-acl" u="1"/>
        <s v="aws.network-addr" u="1"/>
        <s v="aws.peering-connection" u="1"/>
        <s v="aws.r53domain" u="1"/>
        <s v="aws.rds-snapshot" u="1"/>
        <s v="aws.redshift-reserved" u="1"/>
        <s v="aws.rest-api" u="1"/>
        <s v="aws.rest-resource" u="1"/>
        <s v="aws.rest-stage" u="1"/>
        <s v="aws.route-table" u="1"/>
        <s v="aws.rrset" u="1"/>
        <s v="aws.s3" u="1"/>
        <s v="aws.sagemaker-notebook" u="1"/>
        <s v="aws.secrets-manager" u="1"/>
        <s v="aws.security-group" u="1"/>
        <s v="aws.sns" u="1"/>
        <s v="aws.sqs" u="1"/>
        <s v="aws.subnet" u="1"/>
        <s v="aws.vpc" u="1"/>
        <s v="aws.vpc-endpoint" u="1"/>
        <s v="aws.waf" u="1"/>
        <s v="aws.waf-regional" u="1"/>
        <s v="aws.waf-rule" u="1"/>
        <s v="aws.waf-rule-groups" u="1"/>
        <s v="aws.workspaces-image" u="1"/>
        <s v="cache-cluster" u="1"/>
        <s v="codebuild" u="1"/>
        <s v="dms-instance" u="1"/>
        <s v="efs" u="1"/>
        <s v="elasticache-group" u="1"/>
        <s v="elasticsearch" u="1"/>
        <s v="elasticsearch-reserved" u="1"/>
        <s v="emr" u="1"/>
        <s v="glue-job" u="1"/>
        <s v="kafka" u="1"/>
        <s v="kinesis-video" u="1"/>
        <s v="redshift" u="1"/>
        <s v="sagemaker-endpoint-config" u="1"/>
        <s v="sagemaker-model" u="1"/>
        <s v="sagemaker-notebook" u="1"/>
        <s v="security-group" u="1"/>
      </sharedItems>
    </cacheField>
    <cacheField name="RuleID" numFmtId="0">
      <sharedItems containsNonDate="0" containsBlank="1" count="388">
        <m/>
        <s v="aws-015" u="1"/>
        <s v="aws-016" u="1"/>
        <s v="aws-019" u="1"/>
        <s v="aws-045" u="1"/>
        <s v="aws-046" u="1"/>
        <s v="aws-047" u="1"/>
        <s v="aws-048" u="1"/>
        <s v="aws-049" u="1"/>
        <s v="aws-050" u="1"/>
        <s v="aws-051" u="1"/>
        <s v="aws-052" u="1"/>
        <s v="aws-058" u="1"/>
        <s v="aws-059" u="1"/>
        <s v="aws-138" u="1"/>
        <s v="aws-143" u="1"/>
        <s v="aws-144" u="1"/>
        <s v="aws-358" u="1"/>
        <s v="aws-106" u="1"/>
        <s v="aws-107" u="1"/>
        <s v="aws-109" u="1"/>
        <s v="aws-115" u="1"/>
        <s v="aws-393" u="1"/>
        <s v="aws-513" u="1"/>
        <s v="aws-528" u="1"/>
        <s v="aws-532" u="1"/>
        <s v="aws-362" u="1"/>
        <s v="aws-425" u="1"/>
        <s v="aws-444" u="1"/>
        <s v="aws-445" u="1"/>
        <s v="aws-446" u="1"/>
        <s v="aws-447" u="1"/>
        <s v="aws-448" u="1"/>
        <s v="aws-508" u="1"/>
        <s v="aws-092" u="1"/>
        <s v="aws-377" u="1"/>
        <s v="aws-630" u="1"/>
        <s v="aws-376" u="1"/>
        <s v="aws-010" u="1"/>
        <s v="aws-011" u="1"/>
        <s v="aws-111" u="1"/>
        <s v="aws-129" u="1"/>
        <s v="aws-130" u="1"/>
        <s v="aws-193" u="1"/>
        <s v="aws-194" u="1"/>
        <s v="aws-195" u="1"/>
        <s v="aws-469" u="1"/>
        <s v="aws-498" u="1"/>
        <s v="aws-512" u="1"/>
        <s v="aws-251" u="1"/>
        <s v="aws-394" u="1"/>
        <s v="aws-291" u="1"/>
        <s v="aws-293" u="1"/>
        <s v="aws-264" u="1"/>
        <s v="aws-265" u="1"/>
        <s v="aws-267" u="1"/>
        <s v="aws-269" u="1"/>
        <s v="aws-272" u="1"/>
        <s v="aws-406" u="1"/>
        <s v="aws-453" u="1"/>
        <s v="aws-454" u="1"/>
        <s v="aws-396" u="1"/>
        <s v="aws-476" u="1"/>
        <s v="aws-477" u="1"/>
        <s v="aws-053" u="1"/>
        <s v="aws-055" u="1"/>
        <s v="aws-060" u="1"/>
        <s v="aws-084" u="1"/>
        <s v="aws-303" u="1"/>
        <s v="aws-374" u="1"/>
        <s v="aws-398" u="1"/>
        <s v="aws-544" u="1"/>
        <s v="aws-089" u="1"/>
        <s v="aws-399" u="1"/>
        <s v="aws-480" u="1"/>
        <s v="aws-481" u="1"/>
        <s v="aws-482" u="1"/>
        <s v="aws-483" u="1"/>
        <s v="aws-071" u="1"/>
        <s v="aws-484" u="1"/>
        <s v="aws-485" u="1"/>
        <s v="aws-486" u="1"/>
        <s v="aws-487" u="1"/>
        <s v="aws-309" u="1"/>
        <s v="aws-012" u="1"/>
        <s v="aws-065" u="1"/>
        <s v="aws-083" u="1"/>
        <s v="aws-103" u="1"/>
        <s v="aws-104" u="1"/>
        <s v="aws-108" u="1"/>
        <s v="aws-179" u="1"/>
        <s v="aws-180" u="1"/>
        <s v="aws-295" u="1"/>
        <s v="aws-299" u="1"/>
        <s v="aws-397" u="1"/>
        <s v="aws-478" u="1"/>
        <s v="aws-530" u="1"/>
        <s v="aws-538" u="1"/>
        <s v="aws-539" u="1"/>
        <s v="aws-543" u="1"/>
        <s v="aws-401" u="1"/>
        <s v="aws-181" u="1"/>
        <s v="aws-310" u="1"/>
        <s v="aws-312" u="1"/>
        <s v="aws-313" u="1"/>
        <s v="aws-325" u="1"/>
        <s v="aws-402" u="1"/>
        <s v="aws-122" u="1"/>
        <s v="aws-182" u="1"/>
        <s v="aws-183" u="1"/>
        <s v="aws-552" u="1"/>
        <s v="aws-021" u="1"/>
        <s v="aws-147" u="1"/>
        <s v="aws-326" u="1"/>
        <s v="aws-328" u="1"/>
        <s v="aws-378" u="1"/>
        <s v="aws-548" u="1"/>
        <s v="aws-570" u="1"/>
        <s v="aws-575" u="1"/>
        <s v="aws-022" u="1"/>
        <s v="aws-076" u="1"/>
        <s v="aws-327" u="1"/>
        <s v="aws-379" u="1"/>
        <s v="aws-020" u="1"/>
        <s v="aws-025" u="1"/>
        <s v="aws-057" u="1"/>
        <s v="aws-091" u="1"/>
        <s v="aws-185" u="1"/>
        <s v="aws-186" u="1"/>
        <s v="aws-189" u="1"/>
        <s v="aws-222" u="1"/>
        <s v="aws-223" u="1"/>
        <s v="aws-224" u="1"/>
        <s v="aws-489" u="1"/>
        <s v="aws-490" u="1"/>
        <s v="aws-529" u="1"/>
        <s v="aws-549" u="1"/>
        <s v="aws-576" u="1"/>
        <s v="aws-610" u="1"/>
        <s v="aws-577" u="1"/>
        <s v="aws-578" u="1"/>
        <s v="aws-579" u="1"/>
        <s v="aws-580" u="1"/>
        <s v="aws-581" u="1"/>
        <s v="aws-228" u="1"/>
        <s v="aws-229" u="1"/>
        <s v="aws-230" u="1"/>
        <s v="aws-492" u="1"/>
        <s v="aws-118" u="1"/>
        <s v="aws-190" u="1"/>
        <s v="aws-495" u="1"/>
        <s v="aws-496" u="1"/>
        <s v="aws-521" u="1"/>
        <s v="aws-522" u="1"/>
        <s v="aws-537" u="1"/>
        <s v="aws-123" u="1"/>
        <s v="aws-124" u="1"/>
        <s v="aws-191" u="1"/>
        <s v="aws-405" u="1"/>
        <s v="aws-510" u="1"/>
        <s v="aws-604" u="1"/>
        <s v="aws-380" u="1"/>
        <s v="aws-125" u="1"/>
        <s v="aws-266" u="1"/>
        <s v="aws-268" u="1"/>
        <s v="aws-270" u="1"/>
        <s v="aws-271" u="1"/>
        <s v="aws-279" u="1"/>
        <s v="aws-074" u="1"/>
        <s v="aws-075" u="1"/>
        <s v="aws-153" u="1"/>
        <s v="aws-154" u="1"/>
        <s v="aws-155" u="1"/>
        <s v="aws-156" u="1"/>
        <s v="aws-197" u="1"/>
        <s v="aws-198" u="1"/>
        <s v="aws-277" u="1"/>
        <s v="aws-280" u="1"/>
        <s v="aws-282" u="1"/>
        <s v="aws-283" u="1"/>
        <s v="aws-410" u="1"/>
        <s v="aws-501" u="1"/>
        <s v="aws-566" u="1"/>
        <s v="aws-586" u="1"/>
        <s v="aws-587" u="1"/>
        <s v="aws-588" u="1"/>
        <s v="aws-589" u="1"/>
        <s v="aws-196" u="1"/>
        <s v="aws-257" u="1"/>
        <s v="aws-258" u="1"/>
        <s v="aws-259" u="1"/>
        <s v="aws-260" u="1"/>
        <s v="aws-409" u="1"/>
        <s v="aws-455" u="1"/>
        <s v="aws-456" u="1"/>
        <s v="aws-381" u="1"/>
        <s v="aws-304" u="1"/>
        <s v="aws-334" u="1"/>
        <s v="aws-333" u="1"/>
        <s v="aws-366" u="1"/>
        <s v="aws-368" u="1"/>
        <s v="aws-411" u="1"/>
        <s v="aws-465" u="1"/>
        <s v="aws-466" u="1"/>
        <s v="aws-467" u="1"/>
        <s v="aws-412" u="1"/>
        <s v="aws-468" u="1"/>
        <s v="aws-308" u="1"/>
        <s v="aws-413" u="1"/>
        <s v="aws-252" u="1"/>
        <s v="aws-253" u="1"/>
        <s v="aws-365" u="1"/>
        <s v="aws-414" u="1"/>
        <s v="aws-457" u="1"/>
        <s v="aws-540" u="1"/>
        <s v="aws-541" u="1"/>
        <s v="aws-542" u="1"/>
        <s v="aws-254" u="1"/>
        <s v="aws-255" u="1"/>
        <s v="aws-256" u="1"/>
        <s v="aws-349" u="1"/>
        <s v="aws-499" u="1"/>
        <s v="aws-054" u="1"/>
        <s v="aws-416" u="1"/>
        <s v="aws-872" u="1"/>
        <s v="aws-261" u="1"/>
        <s v="aws-382" u="1"/>
        <s v="aws-347" u="1"/>
        <s v="aws-348" u="1"/>
        <s v="aws-350" u="1"/>
        <s v="aws-417" u="1"/>
        <s v="aws-329" u="1"/>
        <s v="aws-533" u="1"/>
        <s v="aws-363" u="1"/>
        <s v="aws-419" u="1"/>
        <s v="aws-061" u="1"/>
        <s v="aws-420" u="1"/>
        <s v="aws-523" u="1"/>
        <s v="aws-572" u="1"/>
        <s v="aws-085" u="1"/>
        <s v="aws-086" u="1"/>
        <s v="aws-335" u="1"/>
        <s v="aws-337" u="1"/>
        <s v="aws-421" u="1"/>
        <s v="aws-458" u="1"/>
        <s v="aws-459" u="1"/>
        <s v="aws-460" u="1"/>
        <s v="aws-461" u="1"/>
        <s v="aws-462" u="1"/>
        <s v="aws-500" u="1"/>
        <s v="aws-536" u="1"/>
        <s v="aws-422" u="1"/>
        <s v="aws-423" u="1"/>
        <s v="aws-479" u="1"/>
        <s v="aws-488" u="1"/>
        <s v="aws-602" u="1"/>
        <s v="aws-339" u="1"/>
        <s v="aws-340" u="1"/>
        <s v="aws-343" u="1"/>
        <s v="aws-345" u="1"/>
        <s v="aws-424" u="1"/>
        <s v="aws-433" u="1"/>
        <s v="aws-434" u="1"/>
        <s v="aws-435" u="1"/>
        <s v="aws-383" u="1"/>
        <s v="aws-573" u="1"/>
        <s v="aws-146" u="1"/>
        <s v="aws-188" u="1"/>
        <s v="aws-384" u="1"/>
        <s v="aws-073" u="1"/>
        <s v="aws-390" u="1"/>
        <s v="aws-128" u="1"/>
        <s v="aws-342" u="1"/>
        <s v="aws-344" u="1"/>
        <s v="aws-357" u="1"/>
        <s v="aws-090" u="1"/>
        <s v="aws-176" u="1"/>
        <s v="aws-428" u="1"/>
        <s v="aws-087" u="1"/>
        <s v="aws-126" u="1"/>
        <s v="aws-164" u="1"/>
        <s v="aws-214" u="1"/>
        <s v="aws-215" u="1"/>
        <s v="aws-216" u="1"/>
        <s v="aws-217" u="1"/>
        <s v="aws-353" u="1"/>
        <s v="aws-354" u="1"/>
        <s v="aws-355" u="1"/>
        <s v="aws-429" u="1"/>
        <s v="aws-449" u="1"/>
        <s v="aws-505" u="1"/>
        <s v="aws-506" u="1"/>
        <s v="aws-598" u="1"/>
        <s v="aws-595" u="1"/>
        <s v="aws-596" u="1"/>
        <s v="aws-597" u="1"/>
        <s v="aws-116" u="1"/>
        <s v="aws-249" u="1"/>
        <s v="aws-470" u="1"/>
        <s v="aws-117" u="1"/>
        <s v="aws-150" u="1"/>
        <s v="aws-177" u="1"/>
        <s v="aws-178" u="1"/>
        <s v="aws-248" u="1"/>
        <s v="aws-250" u="1"/>
        <s v="aws-359" u="1"/>
        <s v="aws-361" u="1"/>
        <s v="aws-385" u="1"/>
        <s v="aws-346" u="1"/>
        <s v="aws-004" u="1"/>
        <s v="aws-042" u="1"/>
        <s v="aws-043" u="1"/>
        <s v="aws-044" u="1"/>
        <s v="aws-069" u="1"/>
        <s v="aws-088" u="1"/>
        <s v="aws-112" u="1"/>
        <s v="aws-142" u="1"/>
        <s v="aws-148" u="1"/>
        <s v="aws-437" u="1"/>
        <s v="aws-463" u="1"/>
        <s v="aws-516" u="1"/>
        <s v="aws-517" u="1"/>
        <s v="aws-518" u="1"/>
        <s v="aws-336" u="1"/>
        <s v="aws-341" u="1"/>
        <s v="aws-093" u="1"/>
        <s v="aws-102" u="1"/>
        <s v="aws-311" u="1"/>
        <s v="aws-338" u="1"/>
        <s v="aws-430" u="1"/>
        <s v="aws-218" u="1"/>
        <s v="aws-219" u="1"/>
        <s v="aws-220" u="1"/>
        <s v="aws-027" u="1"/>
        <s v="aws-028" u="1"/>
        <s v="aws-029" u="1"/>
        <s v="aws-030" u="1"/>
        <s v="aws-031" u="1"/>
        <s v="aws-032" u="1"/>
        <s v="aws-033" u="1"/>
        <s v="aws-034" u="1"/>
        <s v="aws-035" u="1"/>
        <s v="aws-036" u="1"/>
        <s v="aws-037" u="1"/>
        <s v="aws-038" u="1"/>
        <s v="aws-039" u="1"/>
        <s v="aws-062" u="1"/>
        <s v="aws-063" u="1"/>
        <s v="aws-064" u="1"/>
        <s v="aws-070" u="1"/>
        <s v="aws-121" u="1"/>
        <s v="aws-131" u="1"/>
        <s v="aws-132" u="1"/>
        <s v="aws-134" u="1"/>
        <s v="aws-135" u="1"/>
        <s v="aws-136" u="1"/>
        <s v="aws-137" u="1"/>
        <s v="aws-151" u="1"/>
        <s v="aws-166" u="1"/>
        <s v="aws-167" u="1"/>
        <s v="aws-168" u="1"/>
        <s v="aws-169" u="1"/>
        <s v="aws-170" u="1"/>
        <s v="aws-171" u="1"/>
        <s v="aws-172" u="1"/>
        <s v="aws-173" u="1"/>
        <s v="aws-386" u="1"/>
        <s v="aws-221" u="1"/>
        <s v="aws-352" u="1"/>
        <s v="aws-431" u="1"/>
        <s v="aws-507" u="1"/>
        <s v="aws-560" u="1"/>
        <s v="aws-024" u="1"/>
        <s v="aws-298" u="1"/>
        <s v="aws-300" u="1"/>
        <s v="aws-301" u="1"/>
        <s v="aws-432" u="1"/>
        <s v="aws-101" u="1"/>
        <s v="aws-387" u="1"/>
        <s v="aws-003" u="1"/>
        <s v="aws-187" u="1"/>
        <s v="aws-391" u="1"/>
        <s v="aws-392" u="1"/>
        <s v="aws-527" u="1"/>
        <s v="aws-524" u="1"/>
        <s v="aws-525" u="1"/>
        <s v="aws-526" u="1"/>
        <s v="aws-331" u="1"/>
      </sharedItems>
    </cacheField>
    <cacheField name="RuleTitle" numFmtId="0">
      <sharedItems containsNonDate="0" containsString="0" containsBlank="1"/>
    </cacheField>
    <cacheField name="ResourceID" numFmtId="49">
      <sharedItems containsNonDate="0" containsString="0" containsBlank="1"/>
    </cacheField>
    <cacheField name="ResourceTags" numFmtId="0">
      <sharedItems containsNonDate="0" containsString="0" containsBlank="1"/>
    </cacheField>
    <cacheField name="CheckStatus" numFmtId="0">
      <sharedItems containsNonDate="0" containsBlank="1" count="4">
        <m/>
        <s v="Failed" u="1"/>
        <s v="Passed" u="1"/>
        <s v="Not evaluated" u="1"/>
      </sharedItems>
    </cacheField>
    <cacheField name="Severity" numFmtId="0">
      <sharedItems containsNonDate="0" containsBlank="1" count="5">
        <m/>
        <s v="High" u="1"/>
        <s v="Medium" u="1"/>
        <s v="Low" u="1"/>
        <s v="Info" u="1"/>
      </sharedItems>
    </cacheField>
    <cacheField name="SeverityPriority" numFmtId="0">
      <sharedItems containsNonDate="0" containsString="0" containsBlank="1"/>
    </cacheField>
    <cacheField name="RemediationComplexity" numFmtId="0">
      <sharedItems containsNonDate="0" containsBlank="1" count="6">
        <m/>
        <s v="Low-Medium" u="1"/>
        <s v="Medium" u="1"/>
        <s v="Low" u="1"/>
        <s v="Medium-High" u="1"/>
        <s v="High" u="1"/>
      </sharedItems>
    </cacheField>
    <cacheField name="RemediationComplexityPriority" numFmtId="0">
      <sharedItems containsNonDate="0" containsString="0" containsBlank="1"/>
    </cacheField>
    <cacheField name="RemediationPriority" numFmtId="0">
      <sharedItems containsNonDate="0" containsString="0" containsBlank="1"/>
    </cacheField>
    <cacheField name="Region (Namespace)" numFmtId="0">
      <sharedItems containsNonDate="0" containsString="0" containsBlank="1"/>
    </cacheField>
    <cacheField name="Date" numFmtId="0">
      <sharedItems containsNonDate="0" containsString="0" containsBlank="1"/>
    </cacheField>
    <cacheField name="Service" numFmtId="0">
      <sharedItems containsNonDate="0" containsString="0" containsBlank="1"/>
    </cacheField>
    <cacheField name="ServiceSection" numFmtId="0">
      <sharedItems containsNonDate="0" containsBlank="1" count="15">
        <m/>
        <s v="Identity and Access Management" u="1"/>
        <s v="Logging and Monitoring" u="1"/>
        <s v="Cryptography &amp; PKI" u="1"/>
        <s v="Application Integration" u="1"/>
        <s v="Compute" u="1"/>
        <s v="Networking &amp; Content Delivery" u="1"/>
        <s v="Storage" u="1"/>
        <s v="Databases" u="1"/>
        <s v="Developer Tools" u="1"/>
        <s v="Security &amp; Compliance" u="1"/>
        <s v="Containers" u="1"/>
        <s v="Analytics" u="1"/>
        <s v="Machine Learning" u="1"/>
        <s v="End User Computing" u="1"/>
      </sharedItems>
    </cacheField>
    <cacheField name="Category" numFmtId="0">
      <sharedItems containsNonDate="0" containsBlank="1" count="14">
        <m/>
        <s v="Security.Protect" u="1"/>
        <s v="Security.Detect" u="1"/>
        <s v="Security.Identify" u="1"/>
        <s v="Tagging" u="1"/>
        <s v="FinOps.Unutilized resources" u="1"/>
        <s v="Security.Recover" u="1"/>
        <s v="FinOps.Lifecycle management" u="1"/>
        <s v="FinOps.Computing resources optimization" u="1"/>
        <s v="FinOps.Autoscaling" u="1"/>
        <s v="FinOps.Storage optimization" u="1"/>
        <s v="FinOps.Idle and underutilized resources" u="1"/>
        <s v="FinOps.Reserved instances and savings plan usage" u="1"/>
        <s v="FinOps.Other cost optimization checks" u="1"/>
      </sharedItems>
    </cacheField>
    <cacheField name="Resolution statu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m/>
    <m/>
    <m/>
    <x v="0"/>
    <x v="0"/>
    <m/>
    <x v="0"/>
    <m/>
    <m/>
    <m/>
    <m/>
    <m/>
    <x v="0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2000000}" name="PivotTable6" cacheId="10" applyNumberFormats="0" applyBorderFormats="0" applyFontFormats="0" applyPatternFormats="0" applyAlignmentFormats="0" applyWidthHeightFormats="1" dataCaption="Values" grandTotalCaption="Total findings" missingCaption="0" updatedVersion="8" minRefreshableVersion="3" useAutoFormatting="1" itemPrintTitles="1" createdVersion="8" indent="0" outline="1" outlineData="1" multipleFieldFilters="0" chartFormat="14" rowHeaderCaption="Service Section" colHeaderCaption="CheckStatus">
  <location ref="M4:N6" firstHeaderRow="1" firstDataRow="2" firstDataCol="1"/>
  <pivotFields count="17">
    <pivotField showAll="0" defaultSubtotal="0"/>
    <pivotField showAll="0"/>
    <pivotField showAll="0"/>
    <pivotField dataField="1" showAll="0" sumSubtotal="1" countASubtotal="1"/>
    <pivotField showAll="0"/>
    <pivotField axis="axisCol" showAll="0">
      <items count="5">
        <item m="1" x="1"/>
        <item h="1" m="1" x="3"/>
        <item h="1" m="1" x="2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16">
        <item m="1" x="7"/>
        <item m="1" x="10"/>
        <item m="1" x="6"/>
        <item m="1" x="13"/>
        <item m="1" x="2"/>
        <item m="1" x="1"/>
        <item m="1" x="14"/>
        <item m="1" x="9"/>
        <item m="1" x="8"/>
        <item m="1" x="3"/>
        <item m="1" x="11"/>
        <item m="1" x="5"/>
        <item m="1" x="4"/>
        <item m="1" x="1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</pivotFields>
  <rowFields count="1">
    <field x="14"/>
  </rowFields>
  <rowItems count="1">
    <i t="grand">
      <x/>
    </i>
  </rowItems>
  <colFields count="1">
    <field x="5"/>
  </colFields>
  <colItems count="1">
    <i t="grand">
      <x/>
    </i>
  </colItems>
  <dataFields count="1">
    <dataField name="Cloud service sections" fld="3" subtotal="count" baseField="12" baseItem="0"/>
  </dataFields>
  <chartFormats count="7">
    <chartFormat chart="2" format="40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" format="404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4" count="1" selected="0">
            <x v="0"/>
          </reference>
        </references>
      </pivotArea>
    </chartFormat>
    <chartFormat chart="2" format="405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4" count="1" selected="0">
            <x v="4"/>
          </reference>
        </references>
      </pivotArea>
    </chartFormat>
    <chartFormat chart="2" format="406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4" count="1" selected="0">
            <x v="11"/>
          </reference>
        </references>
      </pivotArea>
    </chartFormat>
    <chartFormat chart="2" format="407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4" count="1" selected="0">
            <x v="2"/>
          </reference>
        </references>
      </pivotArea>
    </chartFormat>
    <chartFormat chart="2" format="408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4" count="1" selected="0">
            <x v="5"/>
          </reference>
        </references>
      </pivotArea>
    </chartFormat>
    <chartFormat chart="2" format="40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4" type="count" evalOrder="-1" id="1" iMeasureFld="0">
      <autoFilter ref="A1">
        <filterColumn colId="0">
          <top10 val="5" filterVal="5"/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PivotTable7" cacheId="10" applyNumberFormats="0" applyBorderFormats="0" applyFontFormats="0" applyPatternFormats="0" applyAlignmentFormats="0" applyWidthHeightFormats="1" dataCaption="Values" grandTotalCaption="Total findings" missingCaption="0" updatedVersion="8" minRefreshableVersion="3" useAutoFormatting="1" itemPrintTitles="1" createdVersion="8" indent="0" outline="1" outlineData="1" multipleFieldFilters="0" chartFormat="40" rowHeaderCaption="Rule ID" colHeaderCaption="CheckStatus">
  <location ref="S4:T6" firstHeaderRow="1" firstDataRow="2" firstDataCol="1"/>
  <pivotFields count="17">
    <pivotField showAll="0" defaultSubtotal="0"/>
    <pivotField axis="axisRow" showAll="0" measureFilter="1" sortType="descending">
      <items count="389">
        <item m="1" x="224"/>
        <item m="1" x="36"/>
        <item m="1" x="138"/>
        <item m="1" x="160"/>
        <item m="1" x="255"/>
        <item m="1" x="292"/>
        <item m="1" x="295"/>
        <item m="1" x="294"/>
        <item m="1" x="293"/>
        <item m="1" x="186"/>
        <item m="1" x="185"/>
        <item m="1" x="184"/>
        <item m="1" x="183"/>
        <item m="1" x="143"/>
        <item m="1" x="142"/>
        <item m="1" x="141"/>
        <item m="1" x="140"/>
        <item m="1" x="139"/>
        <item m="1" x="137"/>
        <item m="1" x="118"/>
        <item m="1" x="265"/>
        <item m="1" x="238"/>
        <item m="1" x="117"/>
        <item m="1" x="182"/>
        <item m="1" x="371"/>
        <item m="1" x="110"/>
        <item m="1" x="136"/>
        <item m="1" x="116"/>
        <item m="1" x="71"/>
        <item m="1" x="99"/>
        <item m="1" x="216"/>
        <item m="1" x="215"/>
        <item m="1" x="214"/>
        <item m="1" x="98"/>
        <item m="1" x="97"/>
        <item m="1" x="154"/>
        <item m="1" x="250"/>
        <item m="1" x="232"/>
        <item m="1" x="25"/>
        <item m="1" x="96"/>
        <item m="1" x="135"/>
        <item m="1" x="24"/>
        <item m="1" x="383"/>
        <item m="1" x="386"/>
        <item m="1" x="385"/>
        <item m="1" x="384"/>
        <item m="1" x="237"/>
        <item m="1" x="153"/>
        <item m="1" x="152"/>
        <item m="1" x="322"/>
        <item m="1" x="321"/>
        <item m="1" x="320"/>
        <item m="1" x="23"/>
        <item m="1" x="48"/>
        <item m="1" x="159"/>
        <item m="1" x="33"/>
        <item m="1" x="370"/>
        <item m="1" x="291"/>
        <item m="1" x="290"/>
        <item m="1" x="181"/>
        <item m="1" x="249"/>
        <item m="1" x="221"/>
        <item m="1" x="47"/>
        <item m="1" x="151"/>
        <item m="1" x="150"/>
        <item m="1" x="147"/>
        <item m="1" x="134"/>
        <item m="1" x="133"/>
        <item m="1" x="254"/>
        <item m="1" x="82"/>
        <item m="1" x="81"/>
        <item m="1" x="80"/>
        <item m="1" x="79"/>
        <item m="1" x="77"/>
        <item m="1" x="76"/>
        <item m="1" x="75"/>
        <item m="1" x="74"/>
        <item m="1" x="253"/>
        <item m="1" x="95"/>
        <item m="1" x="63"/>
        <item m="1" x="62"/>
        <item m="1" x="298"/>
        <item m="1" x="46"/>
        <item m="1" x="206"/>
        <item m="1" x="204"/>
        <item m="1" x="203"/>
        <item m="1" x="202"/>
        <item m="1" x="319"/>
        <item m="1" x="248"/>
        <item m="1" x="247"/>
        <item m="1" x="246"/>
        <item m="1" x="245"/>
        <item m="1" x="244"/>
        <item m="1" x="213"/>
        <item m="1" x="194"/>
        <item m="1" x="193"/>
        <item m="1" x="60"/>
        <item m="1" x="59"/>
        <item m="1" x="289"/>
        <item m="1" x="32"/>
        <item m="1" x="31"/>
        <item m="1" x="30"/>
        <item m="1" x="29"/>
        <item m="1" x="28"/>
        <item m="1" x="318"/>
        <item m="1" x="263"/>
        <item m="1" x="262"/>
        <item m="1" x="261"/>
        <item m="1" x="376"/>
        <item m="1" x="369"/>
        <item m="1" x="329"/>
        <item m="1" x="288"/>
        <item m="1" x="277"/>
        <item m="1" x="27"/>
        <item m="1" x="260"/>
        <item m="1" x="252"/>
        <item m="1" x="251"/>
        <item m="1" x="243"/>
        <item m="1" x="236"/>
        <item m="1" x="234"/>
        <item m="1" x="230"/>
        <item m="1" x="223"/>
        <item m="1" x="212"/>
        <item m="1" x="208"/>
        <item m="1" x="205"/>
        <item m="1" x="201"/>
        <item m="1" x="180"/>
        <item m="1" x="192"/>
        <item m="1" x="58"/>
        <item m="1" x="158"/>
        <item m="1" x="106"/>
        <item m="1" x="100"/>
        <item m="1" x="73"/>
        <item m="1" x="70"/>
        <item m="1" x="94"/>
        <item m="1" x="61"/>
        <item m="1" x="50"/>
        <item m="1" x="22"/>
        <item m="1" x="382"/>
        <item m="1" x="381"/>
        <item m="1" x="270"/>
        <item m="1" x="378"/>
        <item m="1" x="366"/>
        <item m="1" x="307"/>
        <item m="1" x="268"/>
        <item m="1" x="264"/>
        <item m="1" x="226"/>
        <item m="1" x="195"/>
        <item m="1" x="161"/>
        <item m="1" x="122"/>
        <item m="1" x="115"/>
        <item m="1" x="35"/>
        <item m="1" x="37"/>
        <item m="1" x="69"/>
        <item m="1" x="200"/>
        <item m="1" x="199"/>
        <item m="1" x="211"/>
        <item m="1" x="233"/>
        <item m="1" x="26"/>
        <item m="1" x="306"/>
        <item m="1" x="305"/>
        <item m="1" x="17"/>
        <item m="1" x="274"/>
        <item m="1" x="287"/>
        <item m="1" x="286"/>
        <item m="1" x="285"/>
        <item m="1" x="368"/>
        <item m="1" x="229"/>
        <item m="1" x="220"/>
        <item m="1" x="228"/>
        <item m="1" x="227"/>
        <item m="1" x="308"/>
        <item m="1" x="259"/>
        <item m="1" x="273"/>
        <item m="1" x="258"/>
        <item m="1" x="272"/>
        <item m="1" x="324"/>
        <item m="1" x="257"/>
        <item m="1" x="256"/>
        <item m="1" x="328"/>
        <item m="1" x="242"/>
        <item m="1" x="323"/>
        <item m="1" x="241"/>
        <item m="1" x="197"/>
        <item m="1" x="198"/>
        <item m="1" x="387"/>
        <item m="1" x="231"/>
        <item m="1" x="114"/>
        <item m="1" x="121"/>
        <item m="1" x="113"/>
        <item m="1" x="105"/>
        <item m="1" x="104"/>
        <item m="1" x="103"/>
        <item m="1" x="327"/>
        <item m="1" x="102"/>
        <item m="1" x="83"/>
        <item m="1" x="207"/>
        <item m="1" x="196"/>
        <item m="1" x="68"/>
        <item m="1" x="375"/>
        <item m="1" x="374"/>
        <item m="1" x="93"/>
        <item m="1" x="373"/>
        <item m="1" x="92"/>
        <item m="1" x="52"/>
        <item m="1" x="51"/>
        <item m="1" x="179"/>
        <item m="1" x="178"/>
        <item m="1" x="177"/>
        <item m="1" x="167"/>
        <item m="1" x="176"/>
        <item m="1" x="57"/>
        <item m="1" x="166"/>
        <item m="1" x="165"/>
        <item m="1" x="56"/>
        <item m="1" x="164"/>
        <item m="1" x="55"/>
        <item m="1" x="163"/>
        <item m="1" x="54"/>
        <item m="1" x="53"/>
        <item m="1" x="225"/>
        <item m="1" x="191"/>
        <item m="1" x="190"/>
        <item m="1" x="189"/>
        <item m="1" x="188"/>
        <item m="1" x="219"/>
        <item m="1" x="218"/>
        <item m="1" x="217"/>
        <item m="1" x="210"/>
        <item m="1" x="209"/>
        <item m="1" x="49"/>
        <item m="1" x="304"/>
        <item m="1" x="297"/>
        <item m="1" x="303"/>
        <item m="1" x="146"/>
        <item m="1" x="145"/>
        <item m="1" x="144"/>
        <item m="1" x="132"/>
        <item m="1" x="131"/>
        <item m="1" x="130"/>
        <item m="1" x="367"/>
        <item m="1" x="332"/>
        <item m="1" x="331"/>
        <item m="1" x="330"/>
        <item m="1" x="284"/>
        <item m="1" x="283"/>
        <item m="1" x="282"/>
        <item m="1" x="281"/>
        <item m="1" x="175"/>
        <item m="1" x="174"/>
        <item m="1" x="187"/>
        <item m="1" x="45"/>
        <item m="1" x="44"/>
        <item m="1" x="43"/>
        <item m="1" x="157"/>
        <item m="1" x="149"/>
        <item m="1" x="129"/>
        <item m="1" x="267"/>
        <item m="1" x="380"/>
        <item m="1" x="128"/>
        <item m="1" x="127"/>
        <item m="1" x="109"/>
        <item m="1" x="108"/>
        <item m="1" x="101"/>
        <item m="1" x="91"/>
        <item m="1" x="90"/>
        <item m="1" x="302"/>
        <item m="1" x="301"/>
        <item m="1" x="276"/>
        <item m="1" x="365"/>
        <item m="1" x="364"/>
        <item m="1" x="363"/>
        <item m="1" x="362"/>
        <item m="1" x="361"/>
        <item m="1" x="360"/>
        <item m="1" x="359"/>
        <item m="1" x="358"/>
        <item m="1" x="280"/>
        <item m="1" x="173"/>
        <item m="1" x="172"/>
        <item m="1" x="171"/>
        <item m="1" x="170"/>
        <item m="1" x="357"/>
        <item m="1" x="300"/>
        <item m="1" x="317"/>
        <item m="1" x="112"/>
        <item m="1" x="266"/>
        <item m="1" x="16"/>
        <item m="1" x="15"/>
        <item m="1" x="316"/>
        <item m="1" x="14"/>
        <item m="1" x="356"/>
        <item m="1" x="355"/>
        <item m="1" x="354"/>
        <item m="1" x="353"/>
        <item m="1" x="352"/>
        <item m="1" x="351"/>
        <item m="1" x="42"/>
        <item m="1" x="41"/>
        <item m="1" x="271"/>
        <item m="1" x="279"/>
        <item m="1" x="162"/>
        <item m="1" x="156"/>
        <item m="1" x="155"/>
        <item m="1" x="107"/>
        <item m="1" x="350"/>
        <item m="1" x="148"/>
        <item m="1" x="299"/>
        <item m="1" x="296"/>
        <item m="1" x="21"/>
        <item m="1" x="315"/>
        <item m="1" x="40"/>
        <item m="1" x="20"/>
        <item m="1" x="89"/>
        <item m="1" x="19"/>
        <item m="1" x="18"/>
        <item m="1" x="88"/>
        <item m="1" x="87"/>
        <item m="1" x="326"/>
        <item m="1" x="377"/>
        <item m="1" x="325"/>
        <item m="1" x="34"/>
        <item m="1" x="126"/>
        <item m="1" x="275"/>
        <item m="1" x="72"/>
        <item m="1" x="314"/>
        <item m="1" x="278"/>
        <item m="1" x="240"/>
        <item m="1" x="239"/>
        <item m="1" x="67"/>
        <item m="1" x="86"/>
        <item m="1" x="120"/>
        <item m="1" x="169"/>
        <item m="1" x="168"/>
        <item m="1" x="269"/>
        <item m="1" x="78"/>
        <item m="1" x="349"/>
        <item m="1" x="313"/>
        <item m="1" x="85"/>
        <item m="1" x="348"/>
        <item m="1" x="347"/>
        <item m="1" x="346"/>
        <item m="1" x="235"/>
        <item m="1" x="66"/>
        <item m="1" x="13"/>
        <item m="1" x="12"/>
        <item m="1" x="125"/>
        <item m="1" x="65"/>
        <item m="1" x="222"/>
        <item m="1" x="64"/>
        <item m="1" x="11"/>
        <item m="1" x="10"/>
        <item m="1" x="9"/>
        <item m="1" x="8"/>
        <item m="1" x="7"/>
        <item m="1" x="6"/>
        <item m="1" x="5"/>
        <item m="1" x="4"/>
        <item m="1" x="312"/>
        <item m="1" x="311"/>
        <item m="1" x="310"/>
        <item m="1" x="345"/>
        <item m="1" x="344"/>
        <item m="1" x="343"/>
        <item m="1" x="342"/>
        <item m="1" x="341"/>
        <item m="1" x="340"/>
        <item m="1" x="339"/>
        <item m="1" x="338"/>
        <item m="1" x="337"/>
        <item m="1" x="336"/>
        <item m="1" x="335"/>
        <item m="1" x="334"/>
        <item m="1" x="333"/>
        <item m="1" x="124"/>
        <item m="1" x="372"/>
        <item m="1" x="119"/>
        <item m="1" x="111"/>
        <item m="1" x="123"/>
        <item m="1" x="3"/>
        <item m="1" x="2"/>
        <item m="1" x="1"/>
        <item m="1" x="84"/>
        <item m="1" x="39"/>
        <item m="1" x="38"/>
        <item m="1" x="309"/>
        <item m="1" x="37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 sumSubtotal="1" countASubtotal="1"/>
    <pivotField showAll="0"/>
    <pivotField axis="axisCol" showAll="0">
      <items count="5">
        <item m="1" x="1"/>
        <item h="1" m="1" x="3"/>
        <item h="1" m="1" x="2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">
    <i t="grand">
      <x/>
    </i>
  </rowItems>
  <colFields count="1">
    <field x="5"/>
  </colFields>
  <colItems count="1">
    <i t="grand">
      <x/>
    </i>
  </colItems>
  <dataFields count="1">
    <dataField name="Rules" fld="3" subtotal="count" baseField="0" baseItem="0"/>
  </dataFields>
  <chartFormats count="2">
    <chartFormat chart="13" format="41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3" format="41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6" iMeasureFld="0">
      <autoFilter ref="A1">
        <filterColumn colId="0">
          <top10 val="5" filterVal="5"/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0" cacheId="10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8" indent="0" compact="0" compactData="0" multipleFieldFilters="0" customListSort="0">
  <location ref="Y4:AC6" firstHeaderRow="1" firstDataRow="2" firstDataCol="3" rowPageCount="1" colPageCount="1"/>
  <pivotFields count="17">
    <pivotField compact="0" outline="0" showAll="0"/>
    <pivotField axis="axisRow" compact="0" outline="0" showAll="0" measureFilter="1" sortType="descending" defaultSubtotal="0">
      <items count="388">
        <item m="1" x="379"/>
        <item m="1" x="309"/>
        <item m="1" x="38"/>
        <item m="1" x="39"/>
        <item m="1" x="84"/>
        <item m="1" x="1"/>
        <item m="1" x="2"/>
        <item m="1" x="3"/>
        <item m="1" x="123"/>
        <item m="1" x="111"/>
        <item m="1" x="119"/>
        <item m="1" x="372"/>
        <item m="1" x="124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10"/>
        <item m="1" x="311"/>
        <item m="1" x="312"/>
        <item m="1" x="4"/>
        <item m="1" x="5"/>
        <item m="1" x="6"/>
        <item m="1" x="7"/>
        <item m="1" x="8"/>
        <item m="1" x="9"/>
        <item m="1" x="10"/>
        <item m="1" x="11"/>
        <item m="1" x="64"/>
        <item m="1" x="222"/>
        <item m="1" x="65"/>
        <item m="1" x="125"/>
        <item m="1" x="12"/>
        <item m="1" x="13"/>
        <item m="1" x="66"/>
        <item m="1" x="235"/>
        <item m="1" x="346"/>
        <item m="1" x="347"/>
        <item m="1" x="348"/>
        <item m="1" x="85"/>
        <item m="1" x="313"/>
        <item m="1" x="349"/>
        <item m="1" x="78"/>
        <item m="1" x="269"/>
        <item m="1" x="168"/>
        <item m="1" x="169"/>
        <item m="1" x="120"/>
        <item m="1" x="86"/>
        <item m="1" x="67"/>
        <item m="1" x="239"/>
        <item m="1" x="240"/>
        <item m="1" x="278"/>
        <item m="1" x="314"/>
        <item m="1" x="72"/>
        <item m="1" x="275"/>
        <item m="1" x="126"/>
        <item m="1" x="34"/>
        <item m="1" x="325"/>
        <item m="1" x="377"/>
        <item m="1" x="326"/>
        <item m="1" x="87"/>
        <item m="1" x="88"/>
        <item m="1" x="18"/>
        <item m="1" x="19"/>
        <item m="1" x="89"/>
        <item m="1" x="20"/>
        <item m="1" x="40"/>
        <item m="1" x="315"/>
        <item m="1" x="21"/>
        <item m="1" x="296"/>
        <item m="1" x="299"/>
        <item m="1" x="148"/>
        <item m="1" x="350"/>
        <item m="1" x="107"/>
        <item m="1" x="155"/>
        <item m="1" x="156"/>
        <item m="1" x="162"/>
        <item m="1" x="279"/>
        <item m="1" x="271"/>
        <item m="1" x="41"/>
        <item m="1" x="42"/>
        <item m="1" x="351"/>
        <item m="1" x="352"/>
        <item m="1" x="353"/>
        <item m="1" x="354"/>
        <item m="1" x="355"/>
        <item m="1" x="356"/>
        <item m="1" x="14"/>
        <item m="1" x="316"/>
        <item m="1" x="15"/>
        <item m="1" x="16"/>
        <item m="1" x="266"/>
        <item m="1" x="112"/>
        <item m="1" x="317"/>
        <item m="1" x="300"/>
        <item m="1" x="357"/>
        <item m="1" x="170"/>
        <item m="1" x="171"/>
        <item m="1" x="172"/>
        <item m="1" x="173"/>
        <item m="1" x="280"/>
        <item m="1" x="358"/>
        <item m="1" x="359"/>
        <item m="1" x="360"/>
        <item m="1" x="361"/>
        <item m="1" x="362"/>
        <item m="1" x="363"/>
        <item m="1" x="364"/>
        <item m="1" x="365"/>
        <item m="1" x="276"/>
        <item m="1" x="301"/>
        <item m="1" x="302"/>
        <item m="1" x="90"/>
        <item m="1" x="91"/>
        <item m="1" x="101"/>
        <item m="1" x="108"/>
        <item m="1" x="109"/>
        <item m="1" x="127"/>
        <item m="1" x="128"/>
        <item m="1" x="380"/>
        <item m="1" x="267"/>
        <item m="1" x="129"/>
        <item m="1" x="149"/>
        <item m="1" x="157"/>
        <item m="1" x="43"/>
        <item m="1" x="44"/>
        <item m="1" x="45"/>
        <item m="1" x="187"/>
        <item m="1" x="174"/>
        <item m="1" x="175"/>
        <item m="1" x="281"/>
        <item m="1" x="282"/>
        <item m="1" x="283"/>
        <item m="1" x="284"/>
        <item m="1" x="330"/>
        <item m="1" x="331"/>
        <item m="1" x="332"/>
        <item m="1" x="367"/>
        <item m="1" x="130"/>
        <item m="1" x="131"/>
        <item m="1" x="132"/>
        <item m="1" x="144"/>
        <item m="1" x="145"/>
        <item m="1" x="146"/>
        <item m="1" x="303"/>
        <item m="1" x="297"/>
        <item m="1" x="304"/>
        <item m="1" x="49"/>
        <item m="1" x="209"/>
        <item m="1" x="210"/>
        <item m="1" x="217"/>
        <item m="1" x="218"/>
        <item m="1" x="219"/>
        <item m="1" x="188"/>
        <item m="1" x="189"/>
        <item m="1" x="190"/>
        <item m="1" x="191"/>
        <item m="1" x="225"/>
        <item m="1" x="53"/>
        <item m="1" x="54"/>
        <item m="1" x="163"/>
        <item m="1" x="55"/>
        <item m="1" x="164"/>
        <item m="1" x="56"/>
        <item m="1" x="165"/>
        <item m="1" x="166"/>
        <item m="1" x="57"/>
        <item m="1" x="176"/>
        <item m="1" x="167"/>
        <item m="1" x="177"/>
        <item m="1" x="178"/>
        <item m="1" x="179"/>
        <item m="1" x="51"/>
        <item m="1" x="52"/>
        <item m="1" x="92"/>
        <item m="1" x="373"/>
        <item m="1" x="93"/>
        <item m="1" x="374"/>
        <item m="1" x="375"/>
        <item m="1" x="68"/>
        <item m="1" x="196"/>
        <item m="1" x="207"/>
        <item m="1" x="83"/>
        <item m="1" x="102"/>
        <item m="1" x="327"/>
        <item m="1" x="103"/>
        <item m="1" x="104"/>
        <item m="1" x="105"/>
        <item m="1" x="113"/>
        <item m="1" x="121"/>
        <item m="1" x="114"/>
        <item m="1" x="231"/>
        <item m="1" x="387"/>
        <item m="1" x="198"/>
        <item m="1" x="197"/>
        <item m="1" x="241"/>
        <item m="1" x="323"/>
        <item m="1" x="242"/>
        <item m="1" x="328"/>
        <item m="1" x="256"/>
        <item m="1" x="257"/>
        <item m="1" x="324"/>
        <item m="1" x="272"/>
        <item m="1" x="258"/>
        <item m="1" x="273"/>
        <item m="1" x="259"/>
        <item m="1" x="308"/>
        <item m="1" x="227"/>
        <item m="1" x="228"/>
        <item m="1" x="220"/>
        <item m="1" x="229"/>
        <item m="1" x="368"/>
        <item m="1" x="285"/>
        <item m="1" x="286"/>
        <item m="1" x="287"/>
        <item m="1" x="274"/>
        <item m="1" x="17"/>
        <item m="1" x="305"/>
        <item m="1" x="306"/>
        <item m="1" x="26"/>
        <item m="1" x="233"/>
        <item m="1" x="211"/>
        <item m="1" x="199"/>
        <item m="1" x="200"/>
        <item m="1" x="69"/>
        <item m="1" x="37"/>
        <item m="1" x="35"/>
        <item m="1" x="115"/>
        <item m="1" x="122"/>
        <item m="1" x="161"/>
        <item m="1" x="195"/>
        <item m="1" x="226"/>
        <item m="1" x="264"/>
        <item m="1" x="268"/>
        <item m="1" x="307"/>
        <item m="1" x="366"/>
        <item m="1" x="378"/>
        <item m="1" x="270"/>
        <item m="1" x="381"/>
        <item m="1" x="382"/>
        <item m="1" x="22"/>
        <item m="1" x="50"/>
        <item m="1" x="61"/>
        <item m="1" x="94"/>
        <item m="1" x="70"/>
        <item m="1" x="73"/>
        <item m="1" x="100"/>
        <item m="1" x="106"/>
        <item m="1" x="158"/>
        <item m="1" x="58"/>
        <item m="1" x="192"/>
        <item m="1" x="180"/>
        <item m="1" x="201"/>
        <item m="1" x="205"/>
        <item m="1" x="208"/>
        <item m="1" x="212"/>
        <item m="1" x="223"/>
        <item m="1" x="230"/>
        <item m="1" x="234"/>
        <item m="1" x="236"/>
        <item m="1" x="243"/>
        <item m="1" x="251"/>
        <item m="1" x="252"/>
        <item m="1" x="260"/>
        <item m="1" x="27"/>
        <item m="1" x="277"/>
        <item m="1" x="288"/>
        <item m="1" x="329"/>
        <item m="1" x="369"/>
        <item m="1" x="376"/>
        <item m="1" x="261"/>
        <item m="1" x="262"/>
        <item m="1" x="263"/>
        <item m="1" x="318"/>
        <item m="1" x="28"/>
        <item m="1" x="29"/>
        <item m="1" x="30"/>
        <item m="1" x="31"/>
        <item m="1" x="32"/>
        <item m="1" x="289"/>
        <item m="1" x="59"/>
        <item m="1" x="60"/>
        <item m="1" x="193"/>
        <item m="1" x="194"/>
        <item m="1" x="213"/>
        <item m="1" x="244"/>
        <item m="1" x="245"/>
        <item m="1" x="246"/>
        <item m="1" x="247"/>
        <item m="1" x="248"/>
        <item m="1" x="319"/>
        <item m="1" x="202"/>
        <item m="1" x="203"/>
        <item m="1" x="204"/>
        <item m="1" x="206"/>
        <item m="1" x="46"/>
        <item m="1" x="298"/>
        <item m="1" x="62"/>
        <item m="1" x="63"/>
        <item m="1" x="95"/>
        <item m="1" x="253"/>
        <item m="1" x="74"/>
        <item m="1" x="75"/>
        <item m="1" x="76"/>
        <item m="1" x="77"/>
        <item m="1" x="79"/>
        <item m="1" x="80"/>
        <item m="1" x="81"/>
        <item m="1" x="82"/>
        <item m="1" x="254"/>
        <item m="1" x="133"/>
        <item m="1" x="134"/>
        <item m="1" x="147"/>
        <item m="1" x="150"/>
        <item m="1" x="151"/>
        <item m="1" x="47"/>
        <item m="1" x="221"/>
        <item m="1" x="249"/>
        <item m="1" x="181"/>
        <item m="1" x="290"/>
        <item m="1" x="291"/>
        <item m="1" x="370"/>
        <item m="1" x="33"/>
        <item m="1" x="159"/>
        <item m="1" x="48"/>
        <item m="1" x="23"/>
        <item m="1" x="320"/>
        <item m="1" x="321"/>
        <item m="1" x="322"/>
        <item m="1" x="152"/>
        <item m="1" x="153"/>
        <item m="1" x="237"/>
        <item m="1" x="384"/>
        <item m="1" x="385"/>
        <item m="1" x="386"/>
        <item m="1" x="383"/>
        <item m="1" x="24"/>
        <item m="1" x="135"/>
        <item m="1" x="96"/>
        <item m="1" x="25"/>
        <item m="1" x="232"/>
        <item m="1" x="250"/>
        <item m="1" x="154"/>
        <item m="1" x="97"/>
        <item m="1" x="98"/>
        <item m="1" x="214"/>
        <item m="1" x="215"/>
        <item m="1" x="216"/>
        <item m="1" x="99"/>
        <item m="1" x="71"/>
        <item m="1" x="116"/>
        <item m="1" x="136"/>
        <item m="1" x="110"/>
        <item m="1" x="371"/>
        <item m="1" x="182"/>
        <item m="1" x="117"/>
        <item m="1" x="238"/>
        <item m="1" x="265"/>
        <item m="1" x="118"/>
        <item m="1" x="137"/>
        <item m="1" x="139"/>
        <item m="1" x="140"/>
        <item m="1" x="141"/>
        <item m="1" x="142"/>
        <item m="1" x="143"/>
        <item m="1" x="183"/>
        <item m="1" x="184"/>
        <item m="1" x="185"/>
        <item m="1" x="186"/>
        <item m="1" x="293"/>
        <item m="1" x="294"/>
        <item m="1" x="295"/>
        <item m="1" x="292"/>
        <item m="1" x="255"/>
        <item m="1" x="160"/>
        <item m="1" x="138"/>
        <item m="1" x="36"/>
        <item m="1" x="224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dataField="1" compact="0" outline="0" showAll="0"/>
    <pivotField compact="0" outline="0" showAll="0"/>
    <pivotField axis="axisPage" compact="0" outline="0" showAll="0">
      <items count="5">
        <item m="1" x="1"/>
        <item m="1" x="3"/>
        <item m="1" x="2"/>
        <item x="0"/>
        <item t="default"/>
      </items>
    </pivotField>
    <pivotField axis="axisRow" compact="0" outline="0" showAll="0" defaultSubtotal="0">
      <items count="5">
        <item m="1" x="1"/>
        <item m="1" x="4"/>
        <item m="1" x="3"/>
        <item m="1" x="2"/>
        <item x="0"/>
      </items>
    </pivotField>
    <pivotField compact="0" outline="0" showAll="0"/>
    <pivotField axis="axisRow" compact="0" outline="0" showAll="0">
      <items count="7">
        <item m="1" x="5"/>
        <item m="1" x="3"/>
        <item m="1" x="1"/>
        <item m="1" x="2"/>
        <item m="1" x="4"/>
        <item x="0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"/>
    <field x="6"/>
    <field x="8"/>
  </rowFields>
  <rowItems count="1">
    <i>
      <x v="387"/>
      <x v="4"/>
      <x v="5"/>
    </i>
  </rowItems>
  <colFields count="1">
    <field x="-2"/>
  </colFields>
  <colItems count="2">
    <i>
      <x/>
    </i>
    <i i="1">
      <x v="1"/>
    </i>
  </colItems>
  <pageFields count="1">
    <pageField fld="5" item="3" hier="-1"/>
  </pageFields>
  <dataFields count="2">
    <dataField name="Remediation Priority" fld="10" subtotal="average" baseField="8" baseItem="3"/>
    <dataField name="Total Findings" fld="3" subtotal="count" baseField="8" baseItem="4"/>
  </dataFields>
  <pivotTableStyleInfo name="PivotStyleLight16" showRowHeaders="0" showColHeaders="1" showRowStripes="0" showColStripes="0" showLastColumn="1"/>
  <filters count="1">
    <filter fld="1" type="count" evalOrder="-1" id="5" iMeasureFld="0">
      <autoFilter ref="A1">
        <filterColumn colId="0">
          <top10 val="10" filterVal="10"/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PivotTable1" cacheId="10" applyNumberFormats="0" applyBorderFormats="0" applyFontFormats="0" applyPatternFormats="0" applyAlignmentFormats="0" applyWidthHeightFormats="1" dataCaption="Values" grandTotalCaption="Total Findings" missingCaption="0" updatedVersion="8" minRefreshableVersion="3" useAutoFormatting="1" itemPrintTitles="1" createdVersion="8" indent="0" compact="0" compactData="0" multipleFieldFilters="0" chartFormat="68" rowHeaderCaption="ResourceType" colHeaderCaption="CheckStatus">
  <location ref="A4:B6" firstHeaderRow="1" firstDataRow="2" firstDataCol="1"/>
  <pivotFields count="17">
    <pivotField name="Resource Type" axis="axisRow" compact="0" outline="0" showAll="0" measureFilter="1" sortType="descending" defaultSubtotal="0">
      <items count="183">
        <item x="0"/>
        <item m="1" x="182"/>
        <item m="1" x="181"/>
        <item m="1" x="180"/>
        <item m="1" x="179"/>
        <item m="1" x="178"/>
        <item m="1" x="177"/>
        <item m="1" x="176"/>
        <item m="1" x="175"/>
        <item m="1" x="174"/>
        <item m="1" x="173"/>
        <item m="1" x="172"/>
        <item m="1" x="171"/>
        <item m="1" x="170"/>
        <item m="1" x="169"/>
        <item m="1" x="168"/>
        <item m="1" x="167"/>
        <item m="1" x="166"/>
        <item m="1" x="165"/>
        <item m="1" x="164"/>
        <item m="1" x="163"/>
        <item m="1" x="162"/>
        <item m="1" x="161"/>
        <item m="1" x="160"/>
        <item m="1" x="159"/>
        <item m="1" x="158"/>
        <item m="1" x="157"/>
        <item m="1" x="156"/>
        <item m="1" x="155"/>
        <item m="1" x="154"/>
        <item m="1" x="153"/>
        <item m="1" x="152"/>
        <item m="1" x="151"/>
        <item m="1" x="150"/>
        <item m="1" x="149"/>
        <item m="1" x="148"/>
        <item m="1" x="147"/>
        <item m="1" x="146"/>
        <item m="1" x="145"/>
        <item m="1" x="144"/>
        <item m="1" x="143"/>
        <item m="1" x="142"/>
        <item m="1" x="141"/>
        <item m="1" x="140"/>
        <item m="1" x="139"/>
        <item m="1" x="138"/>
        <item m="1" x="137"/>
        <item m="1" x="136"/>
        <item m="1" x="135"/>
        <item m="1" x="134"/>
        <item m="1" x="133"/>
        <item m="1" x="132"/>
        <item m="1" x="131"/>
        <item m="1" x="130"/>
        <item m="1" x="129"/>
        <item m="1" x="128"/>
        <item m="1" x="127"/>
        <item m="1" x="126"/>
        <item m="1" x="125"/>
        <item m="1" x="124"/>
        <item m="1" x="123"/>
        <item m="1" x="122"/>
        <item m="1" x="121"/>
        <item m="1" x="120"/>
        <item m="1" x="119"/>
        <item m="1" x="118"/>
        <item m="1" x="117"/>
        <item m="1" x="116"/>
        <item m="1" x="115"/>
        <item m="1" x="113"/>
        <item m="1" x="114"/>
        <item m="1" x="112"/>
        <item m="1" x="111"/>
        <item m="1" x="110"/>
        <item m="1" x="109"/>
        <item m="1" x="108"/>
        <item m="1" x="107"/>
        <item m="1" x="106"/>
        <item m="1" x="105"/>
        <item m="1" x="104"/>
        <item m="1" x="103"/>
        <item m="1" x="102"/>
        <item m="1" x="101"/>
        <item m="1" x="100"/>
        <item m="1" x="99"/>
        <item m="1" x="98"/>
        <item m="1" x="97"/>
        <item m="1" x="96"/>
        <item m="1" x="95"/>
        <item m="1" x="94"/>
        <item m="1" x="93"/>
        <item m="1" x="92"/>
        <item m="1" x="91"/>
        <item m="1" x="90"/>
        <item m="1" x="89"/>
        <item m="1" x="88"/>
        <item m="1" x="87"/>
        <item m="1" x="86"/>
        <item m="1" x="85"/>
        <item m="1" x="1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 sumSubtotal="1" countASubtotal="1"/>
    <pivotField compact="0" outline="0" showAll="0"/>
    <pivotField axis="axisCol" compact="0" outline="0" showAll="0">
      <items count="5">
        <item m="1" x="1"/>
        <item h="1" m="1" x="3"/>
        <item h="1" m="1" x="2"/>
        <item h="1"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0"/>
  </rowFields>
  <rowItems count="1">
    <i t="grand">
      <x/>
    </i>
  </rowItems>
  <colFields count="1">
    <field x="5"/>
  </colFields>
  <colItems count="1">
    <i t="grand">
      <x/>
    </i>
  </colItems>
  <dataFields count="1">
    <dataField name="Resource Types" fld="3" subtotal="count" baseField="0" baseItem="0"/>
  </dataFields>
  <formats count="2">
    <format dxfId="14">
      <pivotArea dataOnly="0" labelOnly="1" grandCol="1" outline="0" fieldPosition="0"/>
    </format>
    <format dxfId="13">
      <pivotArea dataOnly="0" labelOnly="1" grandCol="1" outline="0" fieldPosition="0"/>
    </format>
  </formats>
  <chartFormats count="4">
    <chartFormat chart="66" format="2" series="1">
      <pivotArea type="data" outline="0" fieldPosition="0">
        <references count="1">
          <reference field="5" count="1" selected="0">
            <x v="0"/>
          </reference>
        </references>
      </pivotArea>
    </chartFormat>
    <chartFormat chart="66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" format="41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" format="41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5" iMeasureFld="0">
      <autoFilter ref="A1">
        <filterColumn colId="0">
          <top10 val="5" filterVal="5"/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3000000}" name="PivotTable5" cacheId="10" applyNumberFormats="0" applyBorderFormats="0" applyFontFormats="0" applyPatternFormats="0" applyAlignmentFormats="0" applyWidthHeightFormats="1" dataCaption="Values" grandTotalCaption="Total Findings" missingCaption="0" updatedVersion="8" minRefreshableVersion="3" itemPrintTitles="1" createdVersion="8" indent="0" outline="1" outlineData="1" multipleFieldFilters="0" chartFormat="14" rowHeaderCaption="Category" colHeaderCaption="CheckStatus">
  <location ref="G4:H6" firstHeaderRow="1" firstDataRow="2" firstDataCol="1"/>
  <pivotFields count="17">
    <pivotField showAll="0" defaultSubtotal="0"/>
    <pivotField showAll="0"/>
    <pivotField showAll="0"/>
    <pivotField dataField="1" showAll="0" sumSubtotal="1" countASubtotal="1"/>
    <pivotField showAll="0"/>
    <pivotField axis="axisCol" showAll="0">
      <items count="5">
        <item m="1" x="1"/>
        <item h="1" m="1" x="3"/>
        <item h="1" m="1" x="2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15">
        <item m="1" x="4"/>
        <item m="1" x="6"/>
        <item m="1" x="1"/>
        <item m="1" x="3"/>
        <item m="1" x="2"/>
        <item m="1" x="5"/>
        <item m="1" x="10"/>
        <item m="1" x="12"/>
        <item m="1" x="13"/>
        <item m="1" x="7"/>
        <item m="1" x="11"/>
        <item m="1" x="8"/>
        <item m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5"/>
  </rowFields>
  <rowItems count="1">
    <i t="grand">
      <x/>
    </i>
  </rowItems>
  <colFields count="1">
    <field x="5"/>
  </colFields>
  <colItems count="1">
    <i t="grand">
      <x/>
    </i>
  </colItems>
  <dataFields count="1">
    <dataField name="Rule categories" fld="3" subtotal="count" baseField="12" baseItem="0"/>
  </dataFields>
  <formats count="4">
    <format dxfId="18">
      <pivotArea dataOnly="0" labelOnly="1" fieldPosition="0">
        <references count="1">
          <reference field="5" count="0"/>
        </references>
      </pivotArea>
    </format>
    <format dxfId="17">
      <pivotArea dataOnly="0" labelOnly="1" grandCol="1" outline="0" fieldPosition="0"/>
    </format>
    <format dxfId="16">
      <pivotArea dataOnly="0" labelOnly="1" fieldPosition="0">
        <references count="1">
          <reference field="5" count="0"/>
        </references>
      </pivotArea>
    </format>
    <format dxfId="15">
      <pivotArea dataOnly="0" labelOnly="1" grandCol="1" outline="0" fieldPosition="0"/>
    </format>
  </formats>
  <chartFormats count="9">
    <chartFormat chart="2" format="40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" format="404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5" count="1" selected="0">
            <x v="2"/>
          </reference>
        </references>
      </pivotArea>
    </chartFormat>
    <chartFormat chart="2" format="405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5" count="1" selected="0">
            <x v="0"/>
          </reference>
        </references>
      </pivotArea>
    </chartFormat>
    <chartFormat chart="2" format="406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5" count="1" selected="0">
            <x v="9"/>
          </reference>
        </references>
      </pivotArea>
    </chartFormat>
    <chartFormat chart="2" format="407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5" count="1" selected="0">
            <x v="3"/>
          </reference>
        </references>
      </pivotArea>
    </chartFormat>
    <chartFormat chart="2" format="408">
      <pivotArea type="data" outline="0" fieldPosition="0">
        <references count="3">
          <reference field="4294967294" count="1" selected="0">
            <x v="0"/>
          </reference>
          <reference field="5" count="1" selected="0">
            <x v="0"/>
          </reference>
          <reference field="15" count="1" selected="0">
            <x v="1"/>
          </reference>
        </references>
      </pivotArea>
    </chartFormat>
    <chartFormat chart="2" format="40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1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" format="41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5" type="count" evalOrder="-1" id="1" iMeasureFld="0">
      <autoFilter ref="A1">
        <filterColumn colId="0">
          <top10 val="5" filterVal="5"/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aw_table" displayName="raw_table" ref="A1:Q2" insertRow="1" headerRowDxfId="23">
  <autoFilter ref="A1:Q2" xr:uid="{00000000-0009-0000-0100-000001000000}"/>
  <tableColumns count="17">
    <tableColumn id="6" xr3:uid="{00000000-0010-0000-0000-000006000000}" name="ResourceType"/>
    <tableColumn id="2" xr3:uid="{00000000-0010-0000-0000-000002000000}" name="RuleID"/>
    <tableColumn id="12" xr3:uid="{00000000-0010-0000-0000-00000C000000}" name="RuleTitle"/>
    <tableColumn id="3" xr3:uid="{00000000-0010-0000-0000-000003000000}" name="ResourceID" dataDxfId="22"/>
    <tableColumn id="13" xr3:uid="{00000000-0010-0000-0000-00000D000000}" name="ResourceTags"/>
    <tableColumn id="5" xr3:uid="{00000000-0010-0000-0000-000005000000}" name="CheckStatus"/>
    <tableColumn id="10" xr3:uid="{00000000-0010-0000-0000-00000A000000}" name="Severity"/>
    <tableColumn id="21" xr3:uid="{00000000-0010-0000-0000-000015000000}" name="SeverityPriority" dataDxfId="21"/>
    <tableColumn id="11" xr3:uid="{00000000-0010-0000-0000-00000B000000}" name="RemediationComplexity"/>
    <tableColumn id="22" xr3:uid="{00000000-0010-0000-0000-000016000000}" name="RemediationComplexityPriority" dataDxfId="20"/>
    <tableColumn id="23" xr3:uid="{00000000-0010-0000-0000-000017000000}" name="RemediationPriority" dataDxfId="19"/>
    <tableColumn id="4" xr3:uid="{00000000-0010-0000-0000-000004000000}" name="Region (Namespace)"/>
    <tableColumn id="7" xr3:uid="{00000000-0010-0000-0000-000007000000}" name="Date"/>
    <tableColumn id="9" xr3:uid="{00000000-0010-0000-0000-000009000000}" name="Service"/>
    <tableColumn id="8" xr3:uid="{00000000-0010-0000-0000-000008000000}" name="ServiceSection"/>
    <tableColumn id="14" xr3:uid="{00000000-0010-0000-0000-00000E000000}" name="Category"/>
    <tableColumn id="15" xr3:uid="{00000000-0010-0000-0000-00000F000000}" name="Resolution statu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33"/>
  <sheetViews>
    <sheetView showGridLines="0" tabSelected="1" workbookViewId="0"/>
  </sheetViews>
  <sheetFormatPr defaultRowHeight="14.4" x14ac:dyDescent="0.3"/>
  <cols>
    <col min="2" max="2" width="23.44140625" customWidth="1"/>
    <col min="3" max="3" width="46.6640625" customWidth="1"/>
  </cols>
  <sheetData>
    <row r="1" spans="2:3" x14ac:dyDescent="0.3">
      <c r="B1" s="45"/>
      <c r="C1" s="44"/>
    </row>
    <row r="2" spans="2:3" ht="21" customHeight="1" x14ac:dyDescent="0.3">
      <c r="B2" s="43" t="s">
        <v>0</v>
      </c>
      <c r="C2" s="44"/>
    </row>
    <row r="3" spans="2:3" ht="15.6" customHeight="1" x14ac:dyDescent="0.3">
      <c r="B3" s="34" t="s">
        <v>1</v>
      </c>
      <c r="C3" s="35"/>
    </row>
    <row r="4" spans="2:3" ht="15.6" customHeight="1" x14ac:dyDescent="0.3">
      <c r="B4" s="32" t="s">
        <v>2</v>
      </c>
      <c r="C4" s="33"/>
    </row>
    <row r="5" spans="2:3" ht="15.6" customHeight="1" x14ac:dyDescent="0.3">
      <c r="B5" s="32" t="s">
        <v>3</v>
      </c>
      <c r="C5" s="33"/>
    </row>
    <row r="6" spans="2:3" ht="15.6" customHeight="1" x14ac:dyDescent="0.3">
      <c r="B6" s="32" t="s">
        <v>4</v>
      </c>
      <c r="C6" s="33"/>
    </row>
    <row r="7" spans="2:3" ht="15.6" customHeight="1" x14ac:dyDescent="0.3">
      <c r="B7" s="32" t="s">
        <v>66</v>
      </c>
      <c r="C7" s="33"/>
    </row>
    <row r="8" spans="2:3" ht="15.6" customHeight="1" x14ac:dyDescent="0.3">
      <c r="B8" s="32" t="s">
        <v>67</v>
      </c>
      <c r="C8" s="33"/>
    </row>
    <row r="9" spans="2:3" ht="15.6" customHeight="1" x14ac:dyDescent="0.3">
      <c r="B9" s="32" t="s">
        <v>5</v>
      </c>
      <c r="C9" s="33"/>
    </row>
    <row r="10" spans="2:3" ht="15" thickBot="1" x14ac:dyDescent="0.35">
      <c r="B10" s="36"/>
      <c r="C10" s="36"/>
    </row>
    <row r="11" spans="2:3" ht="15" thickTop="1" x14ac:dyDescent="0.3"/>
    <row r="12" spans="2:3" ht="21" x14ac:dyDescent="0.3">
      <c r="B12" s="43" t="s">
        <v>6</v>
      </c>
      <c r="C12" s="44"/>
    </row>
    <row r="13" spans="2:3" ht="79.8" customHeight="1" x14ac:dyDescent="0.3">
      <c r="B13" s="37" t="s">
        <v>7</v>
      </c>
      <c r="C13" s="38" t="s">
        <v>8</v>
      </c>
    </row>
    <row r="14" spans="2:3" ht="60" customHeight="1" x14ac:dyDescent="0.3">
      <c r="B14" s="37" t="s">
        <v>9</v>
      </c>
      <c r="C14" s="38" t="s">
        <v>10</v>
      </c>
    </row>
    <row r="15" spans="2:3" ht="64.8" customHeight="1" x14ac:dyDescent="0.3">
      <c r="B15" s="37" t="s">
        <v>11</v>
      </c>
      <c r="C15" s="38" t="s">
        <v>12</v>
      </c>
    </row>
    <row r="16" spans="2:3" ht="49.2" customHeight="1" x14ac:dyDescent="0.3">
      <c r="B16" s="37" t="s">
        <v>13</v>
      </c>
      <c r="C16" s="38" t="s">
        <v>68</v>
      </c>
    </row>
    <row r="17" spans="2:3" ht="15" thickBot="1" x14ac:dyDescent="0.35">
      <c r="B17" s="36"/>
      <c r="C17" s="36"/>
    </row>
    <row r="18" spans="2:3" ht="15" thickTop="1" x14ac:dyDescent="0.3"/>
    <row r="19" spans="2:3" ht="21" x14ac:dyDescent="0.3">
      <c r="B19" s="43" t="s">
        <v>69</v>
      </c>
      <c r="C19" s="44"/>
    </row>
    <row r="20" spans="2:3" ht="18" customHeight="1" x14ac:dyDescent="0.3">
      <c r="B20" s="39" t="s">
        <v>14</v>
      </c>
      <c r="C20" s="38" t="s">
        <v>81</v>
      </c>
    </row>
    <row r="21" spans="2:3" ht="18" customHeight="1" x14ac:dyDescent="0.3">
      <c r="B21" s="39" t="s">
        <v>15</v>
      </c>
      <c r="C21" s="38" t="s">
        <v>80</v>
      </c>
    </row>
    <row r="22" spans="2:3" ht="18" customHeight="1" x14ac:dyDescent="0.3">
      <c r="B22" s="39" t="s">
        <v>16</v>
      </c>
      <c r="C22" s="38" t="s">
        <v>82</v>
      </c>
    </row>
    <row r="23" spans="2:3" ht="48" customHeight="1" x14ac:dyDescent="0.3">
      <c r="B23" s="39" t="s">
        <v>17</v>
      </c>
      <c r="C23" s="38" t="s">
        <v>70</v>
      </c>
    </row>
    <row r="24" spans="2:3" ht="31.2" x14ac:dyDescent="0.3">
      <c r="B24" s="39" t="s">
        <v>18</v>
      </c>
      <c r="C24" s="38" t="s">
        <v>71</v>
      </c>
    </row>
    <row r="25" spans="2:3" ht="69" customHeight="1" x14ac:dyDescent="0.3">
      <c r="B25" s="40" t="s">
        <v>19</v>
      </c>
      <c r="C25" s="38" t="s">
        <v>83</v>
      </c>
    </row>
    <row r="26" spans="2:3" ht="31.2" x14ac:dyDescent="0.3">
      <c r="B26" s="39" t="s">
        <v>20</v>
      </c>
      <c r="C26" s="38" t="s">
        <v>72</v>
      </c>
    </row>
    <row r="27" spans="2:3" ht="46.8" x14ac:dyDescent="0.3">
      <c r="B27" s="39" t="s">
        <v>22</v>
      </c>
      <c r="C27" s="38" t="s">
        <v>73</v>
      </c>
    </row>
    <row r="28" spans="2:3" ht="46.8" x14ac:dyDescent="0.3">
      <c r="B28" s="39" t="s">
        <v>25</v>
      </c>
      <c r="C28" s="38" t="s">
        <v>74</v>
      </c>
    </row>
    <row r="29" spans="2:3" ht="46.8" x14ac:dyDescent="0.3">
      <c r="B29" s="39" t="s">
        <v>26</v>
      </c>
      <c r="C29" s="38" t="s">
        <v>75</v>
      </c>
    </row>
    <row r="30" spans="2:3" ht="18" customHeight="1" x14ac:dyDescent="0.3">
      <c r="B30" s="39" t="s">
        <v>27</v>
      </c>
      <c r="C30" s="38" t="s">
        <v>76</v>
      </c>
    </row>
    <row r="31" spans="2:3" ht="31.2" x14ac:dyDescent="0.3">
      <c r="B31" s="39" t="s">
        <v>28</v>
      </c>
      <c r="C31" s="38" t="s">
        <v>77</v>
      </c>
    </row>
    <row r="32" spans="2:3" ht="31.2" x14ac:dyDescent="0.3">
      <c r="B32" s="39" t="s">
        <v>29</v>
      </c>
      <c r="C32" s="38" t="s">
        <v>78</v>
      </c>
    </row>
    <row r="33" spans="2:3" ht="62.4" x14ac:dyDescent="0.3">
      <c r="B33" s="39" t="s">
        <v>30</v>
      </c>
      <c r="C33" s="38" t="s">
        <v>79</v>
      </c>
    </row>
  </sheetData>
  <mergeCells count="4">
    <mergeCell ref="B12:C12"/>
    <mergeCell ref="B1:C1"/>
    <mergeCell ref="B2:C2"/>
    <mergeCell ref="B19:C19"/>
  </mergeCells>
  <pageMargins left="0.3" right="0.3" top="0.5" bottom="0.5" header="0.2" footer="0.2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"/>
  <sheetViews>
    <sheetView workbookViewId="0"/>
  </sheetViews>
  <sheetFormatPr defaultRowHeight="14.4" x14ac:dyDescent="0.3"/>
  <cols>
    <col min="1" max="1" width="15.21875" customWidth="1"/>
    <col min="2" max="2" width="10.6640625" customWidth="1"/>
    <col min="3" max="3" width="47.6640625" customWidth="1"/>
    <col min="4" max="4" width="21.88671875" style="15" customWidth="1"/>
    <col min="5" max="5" width="14.6640625" customWidth="1"/>
    <col min="6" max="6" width="18.6640625" customWidth="1"/>
    <col min="7" max="7" width="15.6640625" customWidth="1"/>
    <col min="8" max="8" width="10.5546875" hidden="1" customWidth="1"/>
    <col min="9" max="9" width="26.33203125" customWidth="1"/>
    <col min="10" max="10" width="15.6640625" hidden="1" customWidth="1"/>
    <col min="11" max="11" width="9.33203125" hidden="1" customWidth="1"/>
    <col min="12" max="12" width="23.33203125" bestFit="1" customWidth="1"/>
    <col min="13" max="13" width="21.5546875" customWidth="1"/>
    <col min="14" max="14" width="25.6640625" customWidth="1"/>
    <col min="15" max="15" width="19.33203125" customWidth="1"/>
    <col min="16" max="16" width="17.5546875" customWidth="1"/>
    <col min="17" max="17" width="17.33203125" customWidth="1"/>
  </cols>
  <sheetData>
    <row r="1" spans="1:17" x14ac:dyDescent="0.3">
      <c r="A1" s="1" t="s">
        <v>14</v>
      </c>
      <c r="B1" s="1" t="s">
        <v>15</v>
      </c>
      <c r="C1" s="1" t="s">
        <v>16</v>
      </c>
      <c r="D1" s="14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</row>
  </sheetData>
  <conditionalFormatting sqref="F1:F1048576">
    <cfRule type="cellIs" dxfId="12" priority="1" operator="equal">
      <formula>"Failed"</formula>
    </cfRule>
    <cfRule type="cellIs" dxfId="11" priority="2" operator="equal">
      <formula>"Passed"</formula>
    </cfRule>
    <cfRule type="cellIs" dxfId="10" priority="3" operator="equal">
      <formula>"Not evaluated"</formula>
    </cfRule>
  </conditionalFormatting>
  <conditionalFormatting sqref="G1:G1048576">
    <cfRule type="cellIs" dxfId="9" priority="4" operator="equal">
      <formula>"High"</formula>
    </cfRule>
    <cfRule type="cellIs" dxfId="8" priority="5" operator="equal">
      <formula>"Medium"</formula>
    </cfRule>
    <cfRule type="cellIs" dxfId="7" priority="6" operator="equal">
      <formula>"Low"</formula>
    </cfRule>
    <cfRule type="cellIs" dxfId="6" priority="7" operator="equal">
      <formula>"Info"</formula>
    </cfRule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I3:S22"/>
  <sheetViews>
    <sheetView showGridLines="0" zoomScaleNormal="100" workbookViewId="0"/>
  </sheetViews>
  <sheetFormatPr defaultRowHeight="14.4" x14ac:dyDescent="0.3"/>
  <cols>
    <col min="3" max="3" width="9" customWidth="1"/>
    <col min="4" max="4" width="8.44140625" customWidth="1"/>
    <col min="5" max="5" width="9.109375" bestFit="1" customWidth="1"/>
    <col min="8" max="8" width="7.6640625" customWidth="1"/>
    <col min="9" max="9" width="11.88671875" customWidth="1"/>
    <col min="12" max="12" width="7.88671875" customWidth="1"/>
    <col min="13" max="19" width="7.6640625" customWidth="1"/>
  </cols>
  <sheetData>
    <row r="3" spans="9:19" ht="15.6" customHeight="1" x14ac:dyDescent="0.3">
      <c r="M3" s="9"/>
      <c r="N3" s="10"/>
      <c r="O3" s="49" t="s">
        <v>31</v>
      </c>
      <c r="P3" s="50"/>
      <c r="Q3" s="50"/>
      <c r="R3" s="50"/>
      <c r="S3" s="51"/>
    </row>
    <row r="4" spans="9:19" x14ac:dyDescent="0.3">
      <c r="I4" s="4" t="s">
        <v>32</v>
      </c>
      <c r="J4" s="22" t="e">
        <f>K4/K7</f>
        <v>#DIV/0!</v>
      </c>
      <c r="K4" s="4">
        <f>COUNTIF(raw_table[CheckStatus],"Failed")</f>
        <v>0</v>
      </c>
      <c r="M4" s="11"/>
      <c r="N4" s="9"/>
      <c r="O4" s="10" t="s">
        <v>33</v>
      </c>
      <c r="P4" s="10" t="s">
        <v>34</v>
      </c>
      <c r="Q4" s="10" t="s">
        <v>35</v>
      </c>
      <c r="R4" s="10" t="s">
        <v>36</v>
      </c>
      <c r="S4" s="12" t="s">
        <v>37</v>
      </c>
    </row>
    <row r="5" spans="9:19" ht="14.4" customHeight="1" x14ac:dyDescent="0.3">
      <c r="I5" s="4" t="s">
        <v>38</v>
      </c>
      <c r="J5" s="23" t="e">
        <f>K5/K7</f>
        <v>#DIV/0!</v>
      </c>
      <c r="K5" s="4">
        <f>COUNTIF(raw_table[CheckStatus],"Passed")</f>
        <v>0</v>
      </c>
      <c r="M5" s="46" t="s">
        <v>20</v>
      </c>
      <c r="N5" s="7" t="s">
        <v>39</v>
      </c>
      <c r="O5" s="20">
        <f>COUNTIFS(raw_table[CheckStatus],"Failed",raw_table[Severity],"Info",raw_table[RemediationComplexity],"Low")</f>
        <v>0</v>
      </c>
      <c r="P5" s="20">
        <f>COUNTIFS(raw_table[CheckStatus],"Failed",raw_table[Severity],"Info",raw_table[RemediationComplexity],"Low-Medium")</f>
        <v>0</v>
      </c>
      <c r="Q5" s="20">
        <f>COUNTIFS(raw_table[CheckStatus],"Failed",raw_table[Severity],"Info",raw_table[RemediationComplexity],"Medium")</f>
        <v>0</v>
      </c>
      <c r="R5" s="20">
        <f>COUNTIFS(raw_table[CheckStatus],"Failed",raw_table[Severity],"Info",raw_table[RemediationComplexity],"Medium-High")</f>
        <v>0</v>
      </c>
      <c r="S5" s="20">
        <f>COUNTIFS(raw_table[CheckStatus],"Failed",raw_table[Severity],"Info",raw_table[RemediationComplexity],"High")</f>
        <v>0</v>
      </c>
    </row>
    <row r="6" spans="9:19" x14ac:dyDescent="0.3">
      <c r="I6" s="5" t="s">
        <v>40</v>
      </c>
      <c r="J6" s="24" t="e">
        <f>K6/K7</f>
        <v>#DIV/0!</v>
      </c>
      <c r="K6" s="4">
        <f>COUNTIF(raw_table[CheckStatus],"Not evaluated")</f>
        <v>0</v>
      </c>
      <c r="M6" s="47"/>
      <c r="N6" s="7" t="s">
        <v>33</v>
      </c>
      <c r="O6" s="18">
        <f>COUNTIFS(raw_table[CheckStatus],"Failed",raw_table[Severity],"Low",raw_table[RemediationComplexity],"Low")</f>
        <v>0</v>
      </c>
      <c r="P6" s="18">
        <f>COUNTIFS(raw_table[CheckStatus],"Failed",raw_table[Severity],"Low",raw_table[RemediationComplexity],"Low-Medium")</f>
        <v>0</v>
      </c>
      <c r="Q6" s="19">
        <f>COUNTIFS(raw_table[CheckStatus],"Failed",raw_table[Severity],"Low",raw_table[RemediationComplexity],"Medium")</f>
        <v>0</v>
      </c>
      <c r="R6" s="19">
        <f>COUNTIFS(raw_table[CheckStatus],"Failed",raw_table[Severity],"Low",raw_table[RemediationComplexity],"Medium-High")</f>
        <v>0</v>
      </c>
      <c r="S6" s="19">
        <f>COUNTIFS(raw_table[CheckStatus],"Failed",raw_table[Severity],"Low",raw_table[RemediationComplexity],"High")</f>
        <v>0</v>
      </c>
    </row>
    <row r="7" spans="9:19" x14ac:dyDescent="0.3">
      <c r="I7" s="4" t="s">
        <v>41</v>
      </c>
      <c r="J7" s="4"/>
      <c r="K7" s="16">
        <f>COUNTA(raw_table[RuleID])</f>
        <v>0</v>
      </c>
      <c r="M7" s="47"/>
      <c r="N7" s="8" t="s">
        <v>35</v>
      </c>
      <c r="O7" s="17">
        <f>COUNTIFS(raw_table[CheckStatus],"Failed",raw_table[Severity],"Medium",raw_table[RemediationComplexity],"Low")</f>
        <v>0</v>
      </c>
      <c r="P7" s="17">
        <f>COUNTIFS(raw_table[CheckStatus],"Failed",raw_table[Severity],"Medium",raw_table[RemediationComplexity],"Low-Medium")</f>
        <v>0</v>
      </c>
      <c r="Q7" s="18">
        <f>COUNTIFS(raw_table[CheckStatus],"Failed",raw_table[Severity],"Medium",raw_table[RemediationComplexity],"Medium")</f>
        <v>0</v>
      </c>
      <c r="R7" s="18">
        <f>COUNTIFS(raw_table[CheckStatus],"Failed",raw_table[Severity],"Medium",raw_table[RemediationComplexity],"Medium-High")</f>
        <v>0</v>
      </c>
      <c r="S7" s="19">
        <f>COUNTIFS(raw_table[CheckStatus],"Failed",raw_table[Severity],"Medium",raw_table[RemediationComplexity],"High")</f>
        <v>0</v>
      </c>
    </row>
    <row r="8" spans="9:19" x14ac:dyDescent="0.3">
      <c r="M8" s="48"/>
      <c r="N8" s="6" t="s">
        <v>37</v>
      </c>
      <c r="O8" s="21">
        <f>COUNTIFS(raw_table[CheckStatus],"Failed",raw_table[Severity],"High",raw_table[RemediationComplexity],"Low")</f>
        <v>0</v>
      </c>
      <c r="P8" s="17">
        <f>COUNTIFS(raw_table[CheckStatus],"Failed",raw_table[Severity],"High",raw_table[RemediationComplexity],"Low-Medium")</f>
        <v>0</v>
      </c>
      <c r="Q8" s="17">
        <f>COUNTIFS(raw_table[CheckStatus],"Failed",raw_table[Severity],"High",raw_table[RemediationComplexity],"Medium")</f>
        <v>0</v>
      </c>
      <c r="R8" s="18">
        <f>COUNTIFS(raw_table[CheckStatus],"Failed",raw_table[Severity],"High",raw_table[RemediationComplexity],"Medium-High")</f>
        <v>0</v>
      </c>
      <c r="S8" s="18">
        <f>COUNTIFS(raw_table[CheckStatus],"Failed",raw_table[Severity],"High",raw_table[RemediationComplexity],"High")</f>
        <v>0</v>
      </c>
    </row>
    <row r="9" spans="9:19" x14ac:dyDescent="0.3">
      <c r="I9" t="s">
        <v>20</v>
      </c>
    </row>
    <row r="10" spans="9:19" x14ac:dyDescent="0.3">
      <c r="I10" s="4" t="s">
        <v>37</v>
      </c>
      <c r="J10" s="17">
        <f>COUNTIF(raw_table[Severity],"High")</f>
        <v>0</v>
      </c>
    </row>
    <row r="11" spans="9:19" x14ac:dyDescent="0.3">
      <c r="I11" s="5" t="s">
        <v>35</v>
      </c>
      <c r="J11" s="18">
        <f>COUNTIF(raw_table[Severity],"Medium")</f>
        <v>0</v>
      </c>
    </row>
    <row r="12" spans="9:19" x14ac:dyDescent="0.3">
      <c r="I12" s="4" t="s">
        <v>33</v>
      </c>
      <c r="J12" s="19">
        <f>COUNTIF(raw_table[Severity],"Low")</f>
        <v>0</v>
      </c>
      <c r="K12" s="13"/>
    </row>
    <row r="13" spans="9:19" x14ac:dyDescent="0.3">
      <c r="I13" s="4" t="s">
        <v>39</v>
      </c>
      <c r="J13" s="20">
        <f>COUNTIF(raw_table[Severity],"Info")</f>
        <v>0</v>
      </c>
      <c r="K13" s="13"/>
    </row>
    <row r="14" spans="9:19" x14ac:dyDescent="0.3">
      <c r="L14" s="13"/>
    </row>
    <row r="15" spans="9:19" x14ac:dyDescent="0.3">
      <c r="J15" s="13"/>
      <c r="K15" s="13"/>
    </row>
    <row r="19" ht="19.2" customHeight="1" x14ac:dyDescent="0.3"/>
    <row r="22" ht="14.4" customHeight="1" x14ac:dyDescent="0.3"/>
  </sheetData>
  <mergeCells count="2">
    <mergeCell ref="M5:M8"/>
    <mergeCell ref="O3:S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1"/>
  <sheetViews>
    <sheetView showGridLines="0" workbookViewId="0"/>
  </sheetViews>
  <sheetFormatPr defaultRowHeight="14.4" x14ac:dyDescent="0.3"/>
  <cols>
    <col min="1" max="1" width="15.109375" bestFit="1" customWidth="1"/>
    <col min="2" max="2" width="13.77734375" bestFit="1" customWidth="1"/>
    <col min="3" max="3" width="12.44140625" bestFit="1" customWidth="1"/>
    <col min="4" max="4" width="18.44140625" bestFit="1" customWidth="1"/>
    <col min="5" max="5" width="16.77734375" bestFit="1" customWidth="1"/>
    <col min="6" max="6" width="11.109375" customWidth="1"/>
    <col min="7" max="7" width="25.6640625" bestFit="1" customWidth="1"/>
    <col min="8" max="8" width="13.77734375" bestFit="1" customWidth="1"/>
    <col min="9" max="11" width="14.44140625" customWidth="1"/>
    <col min="12" max="12" width="11.109375" customWidth="1"/>
    <col min="13" max="13" width="19.77734375" bestFit="1" customWidth="1"/>
    <col min="14" max="14" width="13.77734375" bestFit="1" customWidth="1"/>
    <col min="15" max="15" width="12" bestFit="1" customWidth="1"/>
    <col min="16" max="16" width="7" bestFit="1" customWidth="1"/>
    <col min="17" max="17" width="14" bestFit="1" customWidth="1"/>
    <col min="18" max="18" width="11.109375" customWidth="1"/>
    <col min="19" max="19" width="12" bestFit="1" customWidth="1"/>
    <col min="20" max="20" width="13.77734375" bestFit="1" customWidth="1"/>
    <col min="21" max="21" width="12" bestFit="1" customWidth="1"/>
    <col min="22" max="22" width="7" bestFit="1" customWidth="1"/>
    <col min="23" max="23" width="14" bestFit="1" customWidth="1"/>
    <col min="24" max="24" width="15.44140625" customWidth="1"/>
    <col min="25" max="25" width="11.109375" bestFit="1" customWidth="1"/>
    <col min="26" max="26" width="10" bestFit="1" customWidth="1"/>
    <col min="27" max="27" width="23.33203125" customWidth="1"/>
    <col min="28" max="28" width="18.33203125" customWidth="1"/>
    <col min="29" max="29" width="12.6640625" customWidth="1"/>
    <col min="30" max="30" width="13.44140625" customWidth="1"/>
    <col min="31" max="31" width="18.33203125" customWidth="1"/>
    <col min="32" max="32" width="12.21875" customWidth="1"/>
    <col min="33" max="33" width="16.21875" customWidth="1"/>
    <col min="34" max="35" width="10.5546875" bestFit="1" customWidth="1"/>
    <col min="36" max="36" width="11.6640625" bestFit="1" customWidth="1"/>
    <col min="37" max="37" width="7.77734375" bestFit="1" customWidth="1"/>
    <col min="38" max="38" width="12.21875" bestFit="1" customWidth="1"/>
    <col min="39" max="39" width="9.21875" bestFit="1" customWidth="1"/>
    <col min="40" max="40" width="10.5546875" bestFit="1" customWidth="1"/>
    <col min="41" max="41" width="11.6640625" bestFit="1" customWidth="1"/>
    <col min="42" max="42" width="7.77734375" bestFit="1" customWidth="1"/>
    <col min="43" max="43" width="12.21875" bestFit="1" customWidth="1"/>
    <col min="44" max="44" width="9.21875" bestFit="1" customWidth="1"/>
    <col min="45" max="45" width="10.5546875" bestFit="1" customWidth="1"/>
    <col min="46" max="46" width="12.21875" bestFit="1" customWidth="1"/>
    <col min="47" max="47" width="9.21875" bestFit="1" customWidth="1"/>
    <col min="48" max="48" width="10.5546875" bestFit="1" customWidth="1"/>
  </cols>
  <sheetData>
    <row r="1" spans="1:33" ht="18" x14ac:dyDescent="0.35">
      <c r="A1" s="42" t="s">
        <v>84</v>
      </c>
      <c r="B1" s="41" t="s">
        <v>85</v>
      </c>
    </row>
    <row r="2" spans="1:33" x14ac:dyDescent="0.3">
      <c r="Y2" s="2" t="s">
        <v>19</v>
      </c>
      <c r="Z2" t="s">
        <v>42</v>
      </c>
    </row>
    <row r="3" spans="1:33" ht="18" customHeight="1" x14ac:dyDescent="0.35">
      <c r="A3" s="25" t="s">
        <v>43</v>
      </c>
      <c r="G3" s="25" t="s">
        <v>44</v>
      </c>
      <c r="M3" s="25" t="s">
        <v>45</v>
      </c>
      <c r="S3" s="25" t="s">
        <v>46</v>
      </c>
      <c r="Y3" s="52" t="s">
        <v>47</v>
      </c>
      <c r="Z3" s="44"/>
      <c r="AA3" s="44"/>
      <c r="AB3" s="44"/>
      <c r="AC3" s="44"/>
    </row>
    <row r="4" spans="1:33" x14ac:dyDescent="0.3">
      <c r="A4" s="2" t="s">
        <v>48</v>
      </c>
      <c r="B4" s="2" t="s">
        <v>19</v>
      </c>
      <c r="G4" s="2" t="s">
        <v>49</v>
      </c>
      <c r="H4" s="2" t="s">
        <v>19</v>
      </c>
      <c r="M4" s="2" t="s">
        <v>50</v>
      </c>
      <c r="N4" s="2" t="s">
        <v>19</v>
      </c>
      <c r="S4" s="2" t="s">
        <v>51</v>
      </c>
      <c r="T4" s="2" t="s">
        <v>19</v>
      </c>
      <c r="AB4" s="2" t="s">
        <v>65</v>
      </c>
      <c r="AE4" s="26" t="s">
        <v>54</v>
      </c>
      <c r="AF4" s="10"/>
      <c r="AG4" s="12"/>
    </row>
    <row r="5" spans="1:33" x14ac:dyDescent="0.3">
      <c r="A5" s="2" t="s">
        <v>55</v>
      </c>
      <c r="B5" s="54" t="s">
        <v>53</v>
      </c>
      <c r="G5" s="2" t="s">
        <v>29</v>
      </c>
      <c r="H5" s="54" t="s">
        <v>53</v>
      </c>
      <c r="M5" s="2" t="s">
        <v>56</v>
      </c>
      <c r="N5" t="s">
        <v>57</v>
      </c>
      <c r="S5" s="2" t="s">
        <v>58</v>
      </c>
      <c r="T5" t="s">
        <v>57</v>
      </c>
      <c r="Y5" s="2" t="s">
        <v>15</v>
      </c>
      <c r="Z5" s="2" t="s">
        <v>20</v>
      </c>
      <c r="AA5" s="2" t="s">
        <v>22</v>
      </c>
      <c r="AB5" t="s">
        <v>52</v>
      </c>
      <c r="AC5" t="s">
        <v>53</v>
      </c>
      <c r="AE5" s="11"/>
      <c r="AG5" s="27"/>
    </row>
    <row r="6" spans="1:33" x14ac:dyDescent="0.3">
      <c r="A6" t="s">
        <v>53</v>
      </c>
      <c r="B6" s="53">
        <v>0</v>
      </c>
      <c r="G6" s="3" t="s">
        <v>53</v>
      </c>
      <c r="H6" s="53">
        <v>0</v>
      </c>
      <c r="M6" s="3" t="s">
        <v>57</v>
      </c>
      <c r="N6" s="53">
        <v>0</v>
      </c>
      <c r="S6" s="3" t="s">
        <v>57</v>
      </c>
      <c r="T6" s="53">
        <v>0</v>
      </c>
      <c r="Y6" t="s">
        <v>42</v>
      </c>
      <c r="Z6" t="s">
        <v>42</v>
      </c>
      <c r="AA6" t="s">
        <v>42</v>
      </c>
      <c r="AB6" s="53"/>
      <c r="AC6" s="53"/>
      <c r="AE6" s="28" t="s">
        <v>59</v>
      </c>
      <c r="AG6" s="27"/>
    </row>
    <row r="7" spans="1:33" x14ac:dyDescent="0.3">
      <c r="AE7" s="11" t="s">
        <v>20</v>
      </c>
      <c r="AG7" s="27" t="s">
        <v>60</v>
      </c>
    </row>
    <row r="8" spans="1:33" x14ac:dyDescent="0.3">
      <c r="AE8" s="11" t="s">
        <v>61</v>
      </c>
      <c r="AG8" s="27" t="s">
        <v>62</v>
      </c>
    </row>
    <row r="9" spans="1:33" x14ac:dyDescent="0.3">
      <c r="AE9" s="11"/>
      <c r="AG9" s="27"/>
    </row>
    <row r="10" spans="1:33" x14ac:dyDescent="0.3">
      <c r="AE10" s="11" t="s">
        <v>63</v>
      </c>
      <c r="AG10" s="27"/>
    </row>
    <row r="11" spans="1:33" x14ac:dyDescent="0.3">
      <c r="AE11" s="29" t="s">
        <v>64</v>
      </c>
      <c r="AF11" s="30"/>
      <c r="AG11" s="31"/>
    </row>
  </sheetData>
  <mergeCells count="1">
    <mergeCell ref="Y3:AC3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Introduction</vt:lpstr>
      <vt:lpstr>Raw reports</vt:lpstr>
      <vt:lpstr>Dashboard</vt:lpstr>
      <vt:lpstr>Pivots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Vitalii Sobchenko</dc:creator>
  <cp:lastModifiedBy>Vitalii Sobchenko</cp:lastModifiedBy>
  <dcterms:created xsi:type="dcterms:W3CDTF">2026-10-06T12:02:09Z</dcterms:created>
  <dcterms:modified xsi:type="dcterms:W3CDTF">2026-10-16T06:57:24Z</dcterms:modified>
</cp:coreProperties>
</file>